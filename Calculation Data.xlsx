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LT calculator\"/>
    </mc:Choice>
  </mc:AlternateContent>
  <xr:revisionPtr revIDLastSave="0" documentId="13_ncr:1_{2D38B591-A1E2-43B3-A9B6-36684866F505}" xr6:coauthVersionLast="47" xr6:coauthVersionMax="47" xr10:uidLastSave="{00000000-0000-0000-0000-000000000000}"/>
  <bookViews>
    <workbookView xWindow="1060" yWindow="680" windowWidth="23420" windowHeight="1926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21" l="1"/>
  <c r="N9" i="21" s="1"/>
  <c r="D9" i="21"/>
  <c r="L8" i="21"/>
  <c r="N8" i="21" s="1"/>
  <c r="D8" i="21"/>
  <c r="L7" i="21"/>
  <c r="N7" i="21" s="1"/>
  <c r="D7" i="21"/>
  <c r="L6" i="21"/>
  <c r="N6" i="21" s="1"/>
  <c r="D6" i="21"/>
  <c r="L5" i="21"/>
  <c r="N5" i="21" s="1"/>
  <c r="D5" i="21"/>
  <c r="L4" i="21"/>
  <c r="N4" i="21" s="1"/>
  <c r="D4" i="21"/>
  <c r="F3" i="13"/>
  <c r="F4" i="13"/>
  <c r="F5" i="13"/>
  <c r="F6" i="13"/>
  <c r="F7" i="13"/>
  <c r="F8" i="13"/>
  <c r="J14" i="11"/>
  <c r="G10" i="11"/>
  <c r="L10" i="11"/>
  <c r="G13" i="11"/>
  <c r="J13" i="11" s="1"/>
  <c r="O13" i="11"/>
  <c r="G21" i="11"/>
  <c r="O21" i="11" s="1"/>
  <c r="G24" i="11"/>
  <c r="O24" i="11" s="1"/>
  <c r="G22" i="11"/>
  <c r="O22" i="11" s="1"/>
  <c r="G39" i="11"/>
  <c r="O39" i="11" s="1"/>
  <c r="G36" i="11"/>
  <c r="O36" i="11" s="1"/>
  <c r="R32" i="11"/>
  <c r="G32" i="11"/>
  <c r="J32" i="11" s="1"/>
  <c r="R28" i="11"/>
  <c r="G28" i="11"/>
  <c r="O28" i="11" s="1"/>
  <c r="L13" i="11" l="1"/>
  <c r="J21" i="11"/>
  <c r="L21" i="11"/>
  <c r="J24" i="11"/>
  <c r="J22" i="11"/>
  <c r="L22" i="11"/>
  <c r="L24" i="11"/>
  <c r="J39" i="11"/>
  <c r="L39" i="11"/>
  <c r="J36" i="11"/>
  <c r="L36" i="11"/>
  <c r="L32" i="11"/>
  <c r="O32" i="11"/>
  <c r="J28" i="11"/>
  <c r="L28" i="11"/>
  <c r="D2" i="10" l="1"/>
  <c r="G38" i="11"/>
  <c r="L38" i="11" s="1"/>
  <c r="R29" i="11"/>
  <c r="R30" i="11"/>
  <c r="R31" i="11"/>
  <c r="G37" i="11"/>
  <c r="O37" i="11" s="1"/>
  <c r="G35" i="11"/>
  <c r="O35" i="11" s="1"/>
  <c r="G25" i="11"/>
  <c r="O25" i="11" s="1"/>
  <c r="G23" i="11"/>
  <c r="O23" i="11" s="1"/>
  <c r="G20" i="11"/>
  <c r="O20" i="11" s="1"/>
  <c r="J37" i="11" l="1"/>
  <c r="O38" i="11"/>
  <c r="J38" i="11"/>
  <c r="L37" i="11"/>
  <c r="J35" i="11"/>
  <c r="L35" i="11"/>
  <c r="J25" i="11"/>
  <c r="L25" i="11"/>
  <c r="J23" i="11"/>
  <c r="L23" i="11"/>
  <c r="J20" i="11"/>
  <c r="L20" i="11"/>
  <c r="G29" i="11" l="1"/>
  <c r="C24" i="5"/>
  <c r="L29" i="11" l="1"/>
  <c r="O29" i="11"/>
  <c r="J29" i="11"/>
  <c r="C19" i="5"/>
  <c r="G5" i="11"/>
  <c r="J5" i="11" l="1"/>
  <c r="O5" i="11"/>
  <c r="L5" i="11"/>
  <c r="G8" i="15"/>
  <c r="I8" i="15"/>
  <c r="G30" i="11"/>
  <c r="G31" i="11"/>
  <c r="J30" i="11" l="1"/>
  <c r="O30" i="11"/>
  <c r="J31" i="11"/>
  <c r="O31" i="11"/>
  <c r="L31" i="11"/>
  <c r="L30" i="11"/>
  <c r="G2" i="15" l="1"/>
  <c r="I2" i="15"/>
  <c r="G55" i="11" l="1"/>
  <c r="L55" i="11" s="1"/>
  <c r="G53" i="11"/>
  <c r="J53" i="11" s="1"/>
  <c r="G52" i="11"/>
  <c r="L52" i="11" s="1"/>
  <c r="J52" i="11" l="1"/>
  <c r="J55" i="11"/>
  <c r="L53" i="11"/>
  <c r="G46" i="11" l="1"/>
  <c r="G45" i="11"/>
  <c r="G44" i="11"/>
  <c r="L44" i="11" s="1"/>
  <c r="G50" i="11"/>
  <c r="L50" i="11" s="1"/>
  <c r="G41" i="11"/>
  <c r="J41" i="11" s="1"/>
  <c r="G49" i="11"/>
  <c r="L49" i="11" s="1"/>
  <c r="G48" i="11"/>
  <c r="L48" i="11" s="1"/>
  <c r="G42" i="11"/>
  <c r="L42" i="11" s="1"/>
  <c r="G43" i="11"/>
  <c r="L43" i="11" s="1"/>
  <c r="L41" i="11" l="1"/>
  <c r="J45" i="11"/>
  <c r="L45" i="11"/>
  <c r="J46" i="11"/>
  <c r="L46" i="11"/>
  <c r="J44" i="11"/>
  <c r="J50" i="11"/>
  <c r="J49" i="11"/>
  <c r="J43" i="11"/>
  <c r="J48" i="11"/>
  <c r="J42" i="11"/>
  <c r="G14" i="11" l="1"/>
  <c r="O14" i="11" s="1"/>
  <c r="G15" i="11" l="1"/>
  <c r="L14" i="11"/>
  <c r="I4" i="15"/>
  <c r="I5" i="15"/>
  <c r="I6" i="15"/>
  <c r="I7" i="15"/>
  <c r="I9" i="15"/>
  <c r="I10" i="15"/>
  <c r="I11" i="15"/>
  <c r="I3" i="15"/>
  <c r="G11" i="15"/>
  <c r="G9" i="15"/>
  <c r="G7" i="15"/>
  <c r="G6" i="15"/>
  <c r="G5" i="15"/>
  <c r="G4" i="15"/>
  <c r="G3" i="15"/>
  <c r="J15" i="11" l="1"/>
  <c r="O15" i="11"/>
  <c r="L15" i="11"/>
  <c r="C12" i="5"/>
  <c r="C11" i="5"/>
  <c r="C22" i="5"/>
  <c r="C23" i="5"/>
  <c r="C25" i="5"/>
  <c r="C26" i="5"/>
  <c r="C27" i="5"/>
  <c r="C16" i="5"/>
  <c r="C17" i="5"/>
  <c r="C18" i="5" s="1"/>
  <c r="C20" i="5"/>
  <c r="C21" i="5"/>
  <c r="C15" i="5"/>
  <c r="D7" i="10" l="1"/>
  <c r="D6" i="10"/>
  <c r="D5" i="10"/>
  <c r="D4" i="10"/>
  <c r="G17" i="11"/>
  <c r="G11" i="11"/>
  <c r="G4" i="11"/>
  <c r="G8" i="11"/>
  <c r="G7" i="11"/>
  <c r="D3" i="10"/>
  <c r="O17" i="11" l="1"/>
  <c r="L17" i="11"/>
  <c r="J7" i="11"/>
  <c r="O7" i="11"/>
  <c r="J4" i="11"/>
  <c r="O4" i="11"/>
  <c r="J11" i="11"/>
  <c r="O11" i="11"/>
  <c r="J10" i="11"/>
  <c r="O10" i="11"/>
  <c r="J8" i="11"/>
  <c r="O8" i="11"/>
  <c r="J17" i="11"/>
  <c r="L11" i="11"/>
  <c r="L7" i="11"/>
  <c r="L8" i="11"/>
  <c r="L4"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S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sharedStrings.xml><?xml version="1.0" encoding="utf-8"?>
<sst xmlns="http://schemas.openxmlformats.org/spreadsheetml/2006/main" count="916" uniqueCount="407">
  <si>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</si>
  <si>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</si>
  <si>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</si>
  <si>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</si>
  <si>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</si>
  <si>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</si>
  <si>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</si>
  <si>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</si>
  <si>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</si>
  <si>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</si>
  <si>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</si>
  <si>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</si>
  <si>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</si>
  <si>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</si>
  <si>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</si>
  <si>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</si>
  <si>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</si>
  <si>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</si>
  <si>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</si>
  <si>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Steel</t>
  </si>
  <si>
    <t>none</t>
  </si>
  <si>
    <t>Yes</t>
  </si>
  <si>
    <t>-----------------------------------</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</si>
  <si>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</si>
  <si>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</si>
  <si>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</si>
  <si>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</si>
  <si>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</si>
  <si>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</si>
  <si>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</si>
  <si>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</si>
  <si>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</si>
  <si>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</si>
  <si>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</si>
  <si>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</si>
  <si>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</si>
  <si>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</si>
  <si>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</si>
  <si>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</si>
  <si>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</si>
  <si>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</si>
  <si>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</si>
  <si>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</si>
  <si>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</si>
  <si>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</si>
  <si>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</si>
  <si>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</si>
  <si>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</si>
  <si>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</si>
  <si>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</si>
  <si>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</si>
  <si>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</si>
  <si>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</si>
  <si>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</si>
  <si>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</si>
  <si>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</si>
  <si>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</si>
  <si>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</si>
  <si>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</si>
  <si>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</si>
  <si>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</si>
  <si>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</si>
  <si>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</si>
  <si>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</si>
  <si>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</si>
  <si>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</si>
  <si>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</si>
  <si>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</si>
  <si>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</si>
  <si>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</si>
  <si>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</si>
  <si>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</si>
  <si>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</si>
  <si>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</si>
  <si>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</si>
  <si>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</si>
  <si>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</si>
  <si>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</si>
  <si>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</si>
  <si>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</si>
  <si>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</si>
  <si>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</si>
  <si>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</si>
  <si>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</si>
  <si>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</si>
  <si>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</si>
  <si>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</si>
  <si>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</si>
  <si>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</si>
  <si>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</si>
  <si>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</si>
  <si>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</si>
  <si>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</si>
  <si>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</si>
  <si>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</si>
  <si>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</si>
  <si>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</si>
  <si>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</si>
  <si>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</si>
  <si>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</si>
  <si>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</si>
  <si>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</si>
  <si>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</si>
  <si>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</si>
  <si>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</si>
  <si>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</si>
  <si>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</si>
  <si>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</si>
  <si>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</si>
  <si>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</si>
  <si>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</si>
  <si>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</si>
  <si>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</si>
  <si>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</si>
  <si>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</si>
  <si>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</si>
  <si>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</si>
  <si>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</si>
  <si>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plastic</t>
  </si>
  <si>
    <t>Standard</t>
  </si>
  <si>
    <t>steel</t>
  </si>
  <si>
    <t>95mm</t>
  </si>
  <si>
    <t>Bottom lath name</t>
  </si>
  <si>
    <t>BLath weight / m length</t>
  </si>
  <si>
    <t>BLath height</t>
  </si>
  <si>
    <t>Hangdown</t>
  </si>
  <si>
    <t>ID</t>
  </si>
  <si>
    <t xml:space="preserve">Penetration </t>
  </si>
  <si>
    <t>Brush front</t>
  </si>
  <si>
    <t>Brush back</t>
  </si>
  <si>
    <t>Notes</t>
  </si>
  <si>
    <t>Shape</t>
  </si>
  <si>
    <t>Alternate name</t>
  </si>
  <si>
    <t>Diameter</t>
  </si>
  <si>
    <t>Wall Thickness</t>
  </si>
  <si>
    <t>Material grade</t>
  </si>
  <si>
    <t>Density (kg/m3)</t>
  </si>
  <si>
    <t xml:space="preserve">Moment of inertia </t>
  </si>
  <si>
    <t xml:space="preserve">SWS stocked </t>
  </si>
  <si>
    <t>Stock code</t>
  </si>
  <si>
    <t>inches</t>
  </si>
  <si>
    <t>Circular</t>
  </si>
  <si>
    <t>Disc o/d</t>
  </si>
  <si>
    <t>Disc thickness</t>
  </si>
  <si>
    <t>Disc bore</t>
  </si>
  <si>
    <t>Stock ref</t>
  </si>
  <si>
    <t>SWS stock</t>
  </si>
  <si>
    <t>Supplier</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</si>
  <si>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</si>
  <si>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</si>
  <si>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</si>
  <si>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</si>
  <si>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</si>
  <si>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</si>
  <si>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</si>
  <si>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</si>
  <si>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</si>
  <si>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</si>
  <si>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</si>
  <si>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</si>
  <si>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</si>
  <si>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</si>
  <si>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</si>
  <si>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</si>
  <si>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</si>
  <si>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</si>
  <si>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</si>
  <si>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</si>
  <si>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</si>
  <si>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</si>
  <si>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</si>
  <si>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</si>
  <si>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</si>
  <si>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</si>
  <si>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</si>
  <si>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</si>
  <si>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</si>
  <si>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</si>
  <si>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</si>
  <si>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</si>
  <si>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</si>
  <si>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</si>
  <si>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</si>
  <si>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</si>
  <si>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</si>
  <si>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</si>
  <si>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</si>
  <si>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</si>
  <si>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</si>
  <si>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</si>
  <si>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</si>
  <si>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</si>
  <si>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</si>
  <si>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</si>
  <si>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</si>
  <si>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</si>
  <si>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JM500</t>
  </si>
  <si>
    <t>JM750</t>
  </si>
  <si>
    <t>GFA</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</si>
  <si>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</si>
  <si>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</si>
  <si>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</si>
  <si>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</si>
  <si>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</si>
  <si>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</si>
  <si>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</si>
  <si>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</si>
  <si>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</si>
  <si>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</si>
  <si>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</si>
  <si>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</si>
  <si>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</si>
  <si>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</si>
  <si>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</si>
  <si>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</si>
  <si>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</si>
  <si>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</si>
  <si>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</si>
  <si>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</si>
  <si>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</si>
  <si>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</si>
  <si>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</si>
  <si>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</si>
  <si>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</si>
  <si>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</si>
  <si>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</si>
  <si>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</si>
  <si>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</si>
  <si>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</si>
  <si>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</si>
  <si>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</si>
  <si>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</si>
  <si>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</si>
  <si>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</si>
  <si>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</si>
  <si>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</si>
  <si>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</si>
  <si>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</si>
  <si>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</si>
  <si>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</si>
  <si>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</si>
  <si>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</si>
  <si>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</si>
  <si>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</si>
  <si>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</si>
  <si>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</si>
  <si>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</si>
  <si>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</si>
  <si>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</si>
  <si>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</si>
  <si>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</si>
  <si>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</si>
  <si>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</si>
  <si>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</si>
  <si>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</si>
  <si>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</si>
  <si>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</si>
  <si>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</si>
  <si>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Size</t>
  </si>
  <si>
    <t>Max load kgs</t>
  </si>
  <si>
    <t>Thickness mm</t>
  </si>
  <si>
    <t>Fixing holes</t>
  </si>
  <si>
    <t>Offset</t>
  </si>
  <si>
    <t>Height</t>
  </si>
  <si>
    <t>Euro door</t>
  </si>
  <si>
    <t>--</t>
  </si>
  <si>
    <t>KE 40.24  15-57 1"</t>
  </si>
  <si>
    <t>Chain opp</t>
  </si>
  <si>
    <t>Barrel size</t>
  </si>
  <si>
    <t>Barrel ID</t>
  </si>
  <si>
    <t>Disc to barrel gap</t>
  </si>
  <si>
    <t>Supplier ref</t>
  </si>
  <si>
    <t>Limit turn ratio adjustement</t>
  </si>
  <si>
    <t>Ranger150 3ph 15-57 5/8"</t>
  </si>
  <si>
    <t>Platewheel diameter</t>
  </si>
  <si>
    <t>UCF212 - 4 hole 60mm</t>
  </si>
  <si>
    <t>Other</t>
  </si>
  <si>
    <t>Motor Image</t>
  </si>
  <si>
    <t>Gemini 25</t>
  </si>
  <si>
    <t>F100c</t>
  </si>
  <si>
    <t>F160c</t>
  </si>
  <si>
    <t>Ranger 90 Fi 1ph 15-57 1/2"</t>
  </si>
  <si>
    <t>Ranger140 fi 3ph 12-57 5/8"</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</si>
  <si>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</si>
  <si>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</si>
  <si>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</si>
  <si>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</si>
  <si>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</si>
  <si>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</si>
  <si>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</si>
  <si>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</si>
  <si>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</si>
  <si>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</si>
  <si>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</si>
  <si>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</si>
  <si>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</si>
  <si>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</si>
  <si>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</si>
  <si>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Question for Peter , why do you not use a 18t 5/8" on a ranger 150?</t>
  </si>
  <si>
    <t>Ranger220 3ph 15-57 3/4"</t>
  </si>
  <si>
    <t>endlock to guide inner</t>
  </si>
  <si>
    <t>Bearing image</t>
  </si>
  <si>
    <t xml:space="preserve">SWS stock code </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</si>
  <si>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</si>
  <si>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</si>
  <si>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</si>
  <si>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</si>
  <si>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</si>
  <si>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</si>
  <si>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</si>
  <si>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</si>
  <si>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</si>
  <si>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</si>
  <si>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</si>
  <si>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</si>
  <si>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</si>
  <si>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</si>
  <si>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</si>
  <si>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</si>
  <si>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</si>
  <si>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</si>
  <si>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</si>
  <si>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</si>
  <si>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</si>
  <si>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</si>
  <si>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</si>
  <si>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</si>
  <si>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</si>
  <si>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</si>
  <si>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</si>
  <si>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</si>
  <si>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</si>
  <si>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</si>
  <si>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</si>
  <si>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</si>
  <si>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</si>
  <si>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</si>
  <si>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</si>
  <si>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</si>
  <si>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</si>
  <si>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</si>
  <si>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</si>
  <si>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</si>
  <si>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Group name</t>
  </si>
  <si>
    <t>Industrial with motor</t>
  </si>
  <si>
    <t>Traditional with motor</t>
  </si>
  <si>
    <t>Shield</t>
  </si>
  <si>
    <t>Glide</t>
  </si>
  <si>
    <t>Endlock wind type</t>
  </si>
  <si>
    <t>reversible</t>
  </si>
  <si>
    <t>stock length</t>
  </si>
  <si>
    <t>Motor width</t>
  </si>
  <si>
    <t>Motor height 1</t>
  </si>
  <si>
    <t>Motor height 2</t>
  </si>
  <si>
    <t>Motor depth 1</t>
  </si>
  <si>
    <t>Motor depth 2</t>
  </si>
  <si>
    <t>Murax</t>
  </si>
  <si>
    <t>110mm lath</t>
  </si>
  <si>
    <t xml:space="preserve">FTFM Bottom Lath </t>
  </si>
  <si>
    <t xml:space="preserve">FTFM Bottom Lath with 1 angle reinforcement </t>
  </si>
  <si>
    <t xml:space="preserve">FTFM Bottom Lath with 2 angle reinforcement </t>
  </si>
  <si>
    <t>110mm plastic if 60 guide</t>
  </si>
  <si>
    <t>110mm</t>
  </si>
  <si>
    <t>Optional</t>
  </si>
  <si>
    <t>110mm plastic if 80 guide</t>
  </si>
  <si>
    <t>110mm wind</t>
  </si>
  <si>
    <t>FTFM 80 Wind</t>
  </si>
  <si>
    <t>133 x 2.5</t>
  </si>
  <si>
    <t>133.25</t>
  </si>
  <si>
    <t>133 x 3</t>
  </si>
  <si>
    <t>133.30</t>
  </si>
  <si>
    <t>168 x 3</t>
  </si>
  <si>
    <t>168.30</t>
  </si>
  <si>
    <t>T815M</t>
  </si>
  <si>
    <t>T820M</t>
  </si>
  <si>
    <t>T825M</t>
  </si>
  <si>
    <t>T830M</t>
  </si>
  <si>
    <t>T835M</t>
  </si>
  <si>
    <t>FTFM RSB1-30</t>
  </si>
  <si>
    <t>HuZhou SIMPLE Technology</t>
  </si>
  <si>
    <t>FTFM RSB1-40</t>
  </si>
  <si>
    <t>FTFM 280</t>
  </si>
  <si>
    <t>FTFM 310</t>
  </si>
  <si>
    <t>FTFM 340</t>
  </si>
  <si>
    <t>FTFM 370</t>
  </si>
  <si>
    <t>FTFM 400</t>
  </si>
  <si>
    <t>FTFM 440</t>
  </si>
  <si>
    <t>133 x 3.0</t>
  </si>
  <si>
    <t>168 x 3.0</t>
  </si>
  <si>
    <t>FTFM 40 Standard</t>
  </si>
  <si>
    <t>FTFM 60 Standard</t>
  </si>
  <si>
    <t>FTFM 80 Standard</t>
  </si>
  <si>
    <t>FTFM 60 EAB</t>
  </si>
  <si>
    <t>FTFM 80 EAB</t>
  </si>
  <si>
    <t>110mm standard</t>
  </si>
  <si>
    <t>standard</t>
  </si>
  <si>
    <t xml:space="preserve">110mm 8/10 Solid </t>
  </si>
  <si>
    <t xml:space="preserve">110mm 10/10 Solid </t>
  </si>
  <si>
    <t xml:space="preserve">110mm 12/10 Solid </t>
  </si>
  <si>
    <t>110mm 6/10 Solid Wind</t>
  </si>
  <si>
    <t>NO</t>
  </si>
  <si>
    <t>110mm 8/10 Solid Wind</t>
  </si>
  <si>
    <t>110mm 10/10 Solid Wind</t>
  </si>
  <si>
    <t>110mm 12/10 Solid Wind</t>
  </si>
  <si>
    <t xml:space="preserve">110mm 6/10 microperforated </t>
  </si>
  <si>
    <t xml:space="preserve">110mm 8/10 microperforated </t>
  </si>
  <si>
    <t xml:space="preserve">110mm 10/10 microperforated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</si>
</sst>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28"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b/>
      <sz val="11"/>
      <color theme="0"/>
      <name val="Calibri"/>
      <family val="2"/>
      <scheme val="minor"/>
    </font>
    <font>
      <sz val="11"/>
      <color theme="0"/>
      <name val="Calibri"/>
      <family val="2"/>
      <scheme val="minor"/>
    </font>
    <font>
      <b/>
      <sz val="10"/>
      <color theme="0"/>
      <name val="Calibri"/>
      <family val="2"/>
      <scheme val="minor"/>
    </font>
    <font>
      <b/>
      <sz val="10"/>
      <color theme="0"/>
      <name val="Arial"/>
      <family val="2"/>
    </font>
    <font>
      <b/>
      <sz val="11"/>
      <name val="Calibri"/>
      <family val="2"/>
      <scheme val="minor"/>
    </font>
  </fonts>
  <fills count="15">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7">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cellStyleXfs>
  <cellXfs count="124">
    <xf numFmtId="0" fontId="0" fillId="0" borderId="0" xfId="0"/>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xf>
    <xf numFmtId="0" fontId="11"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12" fillId="0" borderId="0" xfId="0" applyFont="1" applyAlignment="1">
      <alignment horizontal="left" vertical="center" wrapText="1" indent="1"/>
    </xf>
    <xf numFmtId="0" fontId="13" fillId="0" borderId="0" xfId="0" applyFont="1" applyAlignment="1">
      <alignment horizontal="left" vertical="center" wrapText="1" indent="1"/>
    </xf>
    <xf numFmtId="0" fontId="13" fillId="0" borderId="0" xfId="0" applyFont="1" applyAlignment="1">
      <alignment horizontal="left" vertical="center" wrapText="1" indent="2"/>
    </xf>
    <xf numFmtId="0" fontId="13" fillId="0" borderId="0" xfId="0" applyFont="1" applyAlignment="1">
      <alignment horizontal="left" vertical="center" wrapText="1" indent="3"/>
    </xf>
    <xf numFmtId="0" fontId="12" fillId="0" borderId="0" xfId="0" applyFont="1" applyAlignment="1">
      <alignment horizontal="left" vertical="center" wrapText="1" indent="3"/>
    </xf>
    <xf numFmtId="0" fontId="7" fillId="4" borderId="1" xfId="0" applyFont="1" applyFill="1" applyBorder="1" applyAlignment="1">
      <alignment horizontal="center" vertical="center" wrapText="1"/>
    </xf>
    <xf numFmtId="0" fontId="3" fillId="4" borderId="1" xfId="2" applyFont="1" applyFill="1" applyBorder="1" applyAlignment="1" applyProtection="1">
      <alignment horizontal="center" vertical="center" wrapText="1"/>
      <protection hidden="1"/>
    </xf>
    <xf numFmtId="1" fontId="0" fillId="0" borderId="0" xfId="0" applyNumberFormat="1" applyAlignment="1">
      <alignment horizontal="center" vertical="center"/>
    </xf>
    <xf numFmtId="0" fontId="0" fillId="5" borderId="0" xfId="0" applyFill="1"/>
    <xf numFmtId="0" fontId="0" fillId="0" borderId="0" xfId="0" applyAlignment="1">
      <alignment horizontal="left"/>
    </xf>
    <xf numFmtId="0" fontId="7"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4" fillId="3" borderId="1" xfId="0" applyFont="1" applyFill="1" applyBorder="1" applyAlignment="1">
      <alignment horizontal="center" vertical="center" wrapText="1"/>
    </xf>
    <xf numFmtId="0" fontId="14" fillId="3" borderId="1" xfId="0" applyFont="1" applyFill="1" applyBorder="1" applyAlignment="1">
      <alignment horizontal="center" vertical="center"/>
    </xf>
    <xf numFmtId="0" fontId="0" fillId="3" borderId="0" xfId="0" applyFill="1" applyAlignment="1">
      <alignment horizontal="center" vertical="center" wrapText="1"/>
    </xf>
    <xf numFmtId="0" fontId="0" fillId="0" borderId="2" xfId="0" applyBorder="1" applyAlignment="1">
      <alignment horizontal="center" vertical="center"/>
    </xf>
    <xf numFmtId="0" fontId="15" fillId="0" borderId="0" xfId="0" applyFont="1" applyAlignment="1">
      <alignment horizontal="center"/>
    </xf>
    <xf numFmtId="0" fontId="0" fillId="0" borderId="0" xfId="0" applyAlignment="1">
      <alignment horizontal="center" wrapText="1"/>
    </xf>
    <xf numFmtId="0" fontId="16" fillId="0" borderId="0" xfId="0" applyFont="1" applyAlignment="1">
      <alignment horizontal="center" vertical="center"/>
    </xf>
    <xf numFmtId="0" fontId="16" fillId="0" borderId="0" xfId="0" applyFont="1"/>
    <xf numFmtId="0" fontId="0" fillId="5" borderId="0" xfId="0" applyFill="1" applyAlignment="1">
      <alignment horizontal="center" vertical="center"/>
    </xf>
    <xf numFmtId="0" fontId="0" fillId="6" borderId="0" xfId="0" applyFill="1"/>
    <xf numFmtId="0" fontId="0" fillId="0" borderId="0" xfId="0" applyAlignment="1">
      <alignment vertical="center"/>
    </xf>
    <xf numFmtId="0" fontId="17" fillId="0" borderId="0" xfId="0" applyFont="1" applyAlignment="1">
      <alignment vertical="center"/>
    </xf>
    <xf numFmtId="0" fontId="0" fillId="7" borderId="1" xfId="0" applyFill="1" applyBorder="1" applyAlignment="1">
      <alignment horizontal="center"/>
    </xf>
    <xf numFmtId="0" fontId="0" fillId="7" borderId="0" xfId="0" applyFill="1" applyAlignment="1">
      <alignment horizontal="center"/>
    </xf>
    <xf numFmtId="0" fontId="0" fillId="7" borderId="0" xfId="0" applyFill="1"/>
    <xf numFmtId="0" fontId="16" fillId="7" borderId="0" xfId="0" applyFont="1" applyFill="1"/>
    <xf numFmtId="0" fontId="5" fillId="7" borderId="1" xfId="0" applyFont="1" applyFill="1" applyBorder="1" applyAlignment="1">
      <alignment horizontal="center"/>
    </xf>
    <xf numFmtId="2" fontId="5" fillId="7" borderId="1" xfId="0" applyNumberFormat="1" applyFont="1" applyFill="1" applyBorder="1" applyAlignment="1">
      <alignment horizontal="center" vertical="center"/>
    </xf>
    <xf numFmtId="0" fontId="18" fillId="8" borderId="0" xfId="0" applyFont="1" applyFill="1" applyAlignment="1">
      <alignment vertical="center" wrapText="1"/>
    </xf>
    <xf numFmtId="0" fontId="0" fillId="8" borderId="0" xfId="0" applyFill="1"/>
    <xf numFmtId="0" fontId="19" fillId="8" borderId="0" xfId="0" applyFont="1" applyFill="1" applyAlignment="1">
      <alignment horizontal="center" vertical="center" wrapText="1"/>
    </xf>
    <xf numFmtId="0" fontId="0" fillId="6" borderId="0" xfId="0" applyFill="1" applyAlignment="1">
      <alignment horizontal="center"/>
    </xf>
    <xf numFmtId="1" fontId="0" fillId="0" borderId="0" xfId="0" applyNumberFormat="1" applyAlignment="1">
      <alignment horizontal="center"/>
    </xf>
    <xf numFmtId="1" fontId="0" fillId="6" borderId="0" xfId="0" applyNumberFormat="1" applyFill="1" applyAlignment="1">
      <alignment horizontal="center"/>
    </xf>
    <xf numFmtId="164" fontId="0" fillId="0" borderId="0" xfId="0" applyNumberFormat="1" applyAlignment="1">
      <alignment horizontal="center"/>
    </xf>
    <xf numFmtId="164" fontId="0" fillId="6" borderId="0" xfId="0" applyNumberFormat="1" applyFill="1" applyAlignment="1">
      <alignment horizontal="center"/>
    </xf>
    <xf numFmtId="164" fontId="0" fillId="7" borderId="0" xfId="0" applyNumberFormat="1" applyFill="1" applyAlignment="1">
      <alignment horizontal="center"/>
    </xf>
    <xf numFmtId="0" fontId="0" fillId="3" borderId="0" xfId="0" applyFill="1" applyAlignment="1">
      <alignment horizontal="center" vertical="center"/>
    </xf>
    <xf numFmtId="44" fontId="0" fillId="0" borderId="0" xfId="3" applyFont="1"/>
    <xf numFmtId="0" fontId="14" fillId="0" borderId="0" xfId="0" applyFont="1" applyAlignment="1">
      <alignment horizontal="center"/>
    </xf>
    <xf numFmtId="0" fontId="14" fillId="0" borderId="0" xfId="0" applyFont="1" applyAlignment="1">
      <alignment vertical="center" wrapText="1"/>
    </xf>
    <xf numFmtId="0" fontId="20" fillId="0" borderId="0" xfId="0" applyFont="1" applyAlignment="1">
      <alignment vertical="center" wrapText="1"/>
    </xf>
    <xf numFmtId="0" fontId="0" fillId="9" borderId="0" xfId="0" applyFill="1" applyAlignment="1">
      <alignment horizontal="center"/>
    </xf>
    <xf numFmtId="0" fontId="0" fillId="9" borderId="0" xfId="0" applyFill="1"/>
    <xf numFmtId="165" fontId="6" fillId="10" borderId="0" xfId="0" applyNumberFormat="1" applyFont="1" applyFill="1" applyAlignment="1">
      <alignment horizontal="center"/>
    </xf>
    <xf numFmtId="0" fontId="0" fillId="10" borderId="0" xfId="0" applyFill="1" applyAlignment="1">
      <alignment horizontal="center"/>
    </xf>
    <xf numFmtId="0" fontId="6" fillId="10" borderId="0" xfId="0" applyFont="1" applyFill="1"/>
    <xf numFmtId="0" fontId="5" fillId="7" borderId="1" xfId="0" quotePrefix="1" applyFont="1" applyFill="1" applyBorder="1" applyAlignment="1" applyProtection="1">
      <alignment horizontal="left"/>
      <protection hidden="1"/>
    </xf>
    <xf numFmtId="0" fontId="0" fillId="0" borderId="0" xfId="0" quotePrefix="1" applyAlignment="1">
      <alignment horizontal="center" vertical="center"/>
    </xf>
    <xf numFmtId="0" fontId="6" fillId="3" borderId="1" xfId="0" applyFont="1" applyFill="1" applyBorder="1" applyAlignment="1">
      <alignment horizontal="center" wrapText="1"/>
    </xf>
    <xf numFmtId="0" fontId="7" fillId="0" borderId="0" xfId="0" applyFont="1"/>
    <xf numFmtId="0" fontId="0" fillId="4" borderId="0" xfId="0" applyFill="1" applyAlignment="1">
      <alignment horizontal="left" vertical="center"/>
    </xf>
    <xf numFmtId="0" fontId="0" fillId="4" borderId="0" xfId="0" applyFill="1" applyAlignment="1">
      <alignment horizontal="center" vertical="center"/>
    </xf>
    <xf numFmtId="0" fontId="0" fillId="4" borderId="0" xfId="0" quotePrefix="1" applyFill="1" applyAlignment="1">
      <alignment horizontal="center" vertical="center"/>
    </xf>
    <xf numFmtId="0" fontId="0" fillId="4" borderId="0" xfId="0" applyFill="1"/>
    <xf numFmtId="0" fontId="0" fillId="4" borderId="0" xfId="0" applyFill="1" applyAlignment="1">
      <alignment horizontal="center"/>
    </xf>
    <xf numFmtId="44" fontId="0" fillId="4" borderId="0" xfId="3" applyFont="1" applyFill="1"/>
    <xf numFmtId="44" fontId="0" fillId="0" borderId="0" xfId="3" applyFont="1" applyAlignment="1">
      <alignment vertical="center"/>
    </xf>
    <xf numFmtId="0" fontId="0" fillId="6" borderId="0" xfId="0" applyFill="1" applyAlignment="1">
      <alignment horizontal="center" vertical="center"/>
    </xf>
    <xf numFmtId="0" fontId="0" fillId="11" borderId="0" xfId="0" applyFill="1"/>
    <xf numFmtId="0" fontId="0" fillId="11" borderId="0" xfId="0" applyFill="1" applyAlignment="1">
      <alignment horizontal="center"/>
    </xf>
    <xf numFmtId="164" fontId="0" fillId="11" borderId="0" xfId="0" applyNumberFormat="1" applyFill="1" applyAlignment="1">
      <alignment horizontal="center"/>
    </xf>
    <xf numFmtId="1" fontId="0" fillId="11" borderId="0" xfId="0" applyNumberFormat="1" applyFill="1" applyAlignment="1">
      <alignment horizontal="center"/>
    </xf>
    <xf numFmtId="0" fontId="0" fillId="6" borderId="0" xfId="0" applyFill="1" applyAlignment="1">
      <alignment horizontal="left" vertical="center"/>
    </xf>
    <xf numFmtId="0" fontId="0" fillId="12" borderId="0" xfId="0" applyFill="1" applyAlignment="1">
      <alignment horizontal="center"/>
    </xf>
    <xf numFmtId="0" fontId="6" fillId="12" borderId="0" xfId="0" applyFont="1" applyFill="1"/>
    <xf numFmtId="0" fontId="0" fillId="13" borderId="0" xfId="0" applyFill="1" applyAlignment="1">
      <alignment horizontal="center"/>
    </xf>
    <xf numFmtId="0" fontId="0" fillId="13" borderId="0" xfId="0" applyFill="1"/>
    <xf numFmtId="0" fontId="0" fillId="3" borderId="0" xfId="0" applyFill="1" applyAlignment="1">
      <alignment horizontal="center"/>
    </xf>
    <xf numFmtId="0" fontId="0" fillId="3" borderId="0" xfId="0" applyFill="1"/>
    <xf numFmtId="0" fontId="10" fillId="3" borderId="1" xfId="0" applyFont="1" applyFill="1" applyBorder="1" applyAlignment="1">
      <alignment horizontal="center" vertical="center"/>
    </xf>
    <xf numFmtId="0" fontId="7" fillId="4" borderId="1" xfId="0" applyFont="1" applyFill="1" applyBorder="1" applyAlignment="1">
      <alignment horizontal="center" wrapText="1"/>
    </xf>
    <xf numFmtId="44" fontId="0" fillId="0" borderId="0" xfId="3" applyFont="1" applyAlignment="1">
      <alignment horizontal="center" wrapText="1"/>
    </xf>
    <xf numFmtId="0" fontId="7" fillId="4" borderId="2" xfId="0" applyFont="1" applyFill="1" applyBorder="1" applyAlignment="1">
      <alignment horizontal="center" vertical="center" wrapText="1"/>
    </xf>
    <xf numFmtId="0" fontId="7" fillId="4" borderId="0" xfId="0" applyFont="1" applyFill="1" applyAlignment="1">
      <alignment horizontal="center" wrapText="1"/>
    </xf>
    <xf numFmtId="166" fontId="14" fillId="0" borderId="1" xfId="0" applyNumberFormat="1" applyFont="1" applyBorder="1" applyAlignment="1">
      <alignment horizontal="center"/>
    </xf>
    <xf numFmtId="0" fontId="23" fillId="14" borderId="0" xfId="0" applyFont="1" applyFill="1" applyAlignment="1">
      <alignment horizontal="center"/>
    </xf>
    <xf numFmtId="0" fontId="23" fillId="14" borderId="3" xfId="0" applyFont="1" applyFill="1" applyBorder="1" applyAlignment="1">
      <alignment horizontal="center"/>
    </xf>
    <xf numFmtId="0" fontId="23" fillId="14" borderId="4" xfId="0" applyFont="1" applyFill="1" applyBorder="1" applyAlignment="1">
      <alignment horizontal="center"/>
    </xf>
    <xf numFmtId="0" fontId="23" fillId="14" borderId="0" xfId="0" applyFont="1" applyFill="1"/>
    <xf numFmtId="165" fontId="23" fillId="14" borderId="0" xfId="0" applyNumberFormat="1" applyFont="1" applyFill="1" applyAlignment="1">
      <alignment horizontal="center"/>
    </xf>
    <xf numFmtId="0" fontId="23" fillId="14" borderId="1" xfId="0" applyFont="1" applyFill="1" applyBorder="1" applyAlignment="1">
      <alignment horizontal="center"/>
    </xf>
    <xf numFmtId="0" fontId="23" fillId="14" borderId="1" xfId="0" applyFont="1" applyFill="1" applyBorder="1" applyAlignment="1">
      <alignment horizontal="center" vertical="center"/>
    </xf>
    <xf numFmtId="0" fontId="23" fillId="14" borderId="0" xfId="0" applyFont="1" applyFill="1" applyAlignment="1">
      <alignment horizontal="center" vertical="center"/>
    </xf>
    <xf numFmtId="0" fontId="23" fillId="14" borderId="0" xfId="0" applyFont="1" applyFill="1" applyAlignment="1">
      <alignment horizontal="left" vertical="center"/>
    </xf>
    <xf numFmtId="0" fontId="0" fillId="0" borderId="0" xfId="0" applyAlignment="1">
      <alignment horizontal="center"/>
    </xf>
    <xf numFmtId="0" fontId="23" fillId="14" borderId="0" xfId="0" applyFont="1" applyFill="1" applyAlignment="1">
      <alignment vertical="center" wrapText="1"/>
    </xf>
    <xf numFmtId="0" fontId="25" fillId="14" borderId="0" xfId="0" applyFont="1" applyFill="1" applyAlignment="1">
      <alignment wrapText="1"/>
    </xf>
    <xf numFmtId="0" fontId="23" fillId="14" borderId="0" xfId="0" applyFont="1" applyFill="1" applyAlignment="1">
      <alignment horizontal="left"/>
    </xf>
    <xf numFmtId="0" fontId="26" fillId="14" borderId="0" xfId="0" applyFont="1" applyFill="1" applyAlignment="1">
      <alignment horizontal="center" vertical="center"/>
    </xf>
    <xf numFmtId="0" fontId="23" fillId="14" borderId="1" xfId="0" applyFont="1" applyFill="1" applyBorder="1"/>
    <xf numFmtId="166" fontId="23" fillId="14" borderId="1" xfId="0" applyNumberFormat="1" applyFont="1" applyFill="1" applyBorder="1" applyAlignment="1">
      <alignment horizontal="center"/>
    </xf>
    <xf numFmtId="2" fontId="23" fillId="14" borderId="1" xfId="0" applyNumberFormat="1" applyFont="1" applyFill="1" applyBorder="1" applyAlignment="1">
      <alignment horizontal="center"/>
    </xf>
    <xf numFmtId="0" fontId="0" fillId="0" borderId="1" xfId="0" applyBorder="1" applyAlignment="1">
      <alignment horizontal="center"/>
    </xf>
    <xf numFmtId="166" fontId="0" fillId="0" borderId="1" xfId="0" applyNumberFormat="1" applyBorder="1" applyAlignment="1">
      <alignment horizontal="center"/>
    </xf>
    <xf numFmtId="2" fontId="0" fillId="0" borderId="1" xfId="0" applyNumberFormat="1" applyBorder="1" applyAlignment="1">
      <alignment horizontal="center"/>
    </xf>
    <xf numFmtId="0" fontId="27" fillId="0" borderId="1" xfId="0" applyFont="1" applyBorder="1"/>
    <xf numFmtId="0" fontId="27" fillId="0" borderId="1" xfId="0" applyFont="1" applyBorder="1" applyAlignment="1">
      <alignment horizontal="center"/>
    </xf>
    <xf numFmtId="2" fontId="27" fillId="0" borderId="1" xfId="0" applyNumberFormat="1" applyFont="1" applyBorder="1" applyAlignment="1">
      <alignment horizontal="center"/>
    </xf>
    <xf numFmtId="0" fontId="27" fillId="0" borderId="0" xfId="0" applyFont="1" applyAlignment="1">
      <alignment horizontal="center"/>
    </xf>
    <xf numFmtId="0" fontId="24" fillId="14" borderId="1" xfId="0" applyFont="1" applyFill="1" applyBorder="1"/>
    <xf numFmtId="0" fontId="24" fillId="14" borderId="1" xfId="0" applyFont="1" applyFill="1" applyBorder="1" applyAlignment="1">
      <alignment horizontal="center"/>
    </xf>
    <xf numFmtId="2" fontId="24" fillId="14" borderId="1" xfId="0" applyNumberFormat="1" applyFont="1" applyFill="1" applyBorder="1" applyAlignment="1">
      <alignment horizontal="center"/>
    </xf>
    <xf numFmtId="0" fontId="24" fillId="14" borderId="0" xfId="0" applyFont="1" applyFill="1" applyAlignment="1">
      <alignment horizontal="center"/>
    </xf>
  </cellXfs>
  <cellStyles count="7">
    <cellStyle name="20% - Accent1 2" xfId="1" xr:uid="{4B6C72F7-C4CA-450E-9C13-94CEF72F8B8D}"/>
    <cellStyle name="Currency" xfId="3" builtinId="4"/>
    <cellStyle name="Currency 2" xfId="4" xr:uid="{8FD1DF05-519B-4CDE-BDB7-50748F1E046D}"/>
    <cellStyle name="Currency 3" xfId="5" xr:uid="{B0FB0586-D208-4CD6-B686-A26FF6496E80}"/>
    <cellStyle name="Currency 4" xfId="6" xr:uid="{96E1C53D-7552-4820-B5F8-CC18D1B8D1FE}"/>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s>
</file>

<file path=xl/drawings/_rels/drawing4.xml.rels><?xml version="1.0" encoding="UTF-8" standalone="yes"?>
<Relationships xmlns="http://schemas.openxmlformats.org/package/2006/relationships"><Relationship Id="rId1" Type="http://schemas.openxmlformats.org/officeDocument/2006/relationships/image" Target="../media/image1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11</xdr:col>
      <xdr:colOff>0</xdr:colOff>
      <xdr:row>6</xdr:row>
      <xdr:rowOff>0</xdr:rowOff>
    </xdr:from>
    <xdr:to>
      <xdr:col>12</xdr:col>
      <xdr:colOff>85</xdr:colOff>
      <xdr:row>6</xdr:row>
      <xdr:rowOff>457264</xdr:rowOff>
    </xdr:to>
    <xdr:pic>
      <xdr:nvPicPr>
        <xdr:cNvPr id="2" name="Picture 1">
          <a:extLst>
            <a:ext uri="{FF2B5EF4-FFF2-40B4-BE49-F238E27FC236}">
              <a16:creationId xmlns:a16="http://schemas.microsoft.com/office/drawing/2014/main" id="{9A6C08EF-21B7-4DA8-AA6F-DC752708E1EE}"/>
            </a:ext>
          </a:extLst>
        </xdr:cNvPr>
        <xdr:cNvPicPr>
          <a:picLocks noChangeAspect="1"/>
        </xdr:cNvPicPr>
      </xdr:nvPicPr>
      <xdr:blipFill>
        <a:blip xmlns:r="http://schemas.openxmlformats.org/officeDocument/2006/relationships" r:embed="rId1"/>
        <a:stretch>
          <a:fillRect/>
        </a:stretch>
      </xdr:blipFill>
      <xdr:spPr>
        <a:xfrm>
          <a:off x="9721850" y="4679950"/>
          <a:ext cx="609685" cy="457264"/>
        </a:xfrm>
        <a:prstGeom prst="rect">
          <a:avLst/>
        </a:prstGeom>
      </xdr:spPr>
    </xdr:pic>
    <xdr:clientData/>
  </xdr:twoCellAnchor>
  <xdr:twoCellAnchor editAs="oneCell">
    <xdr:from>
      <xdr:col>11</xdr:col>
      <xdr:colOff>0</xdr:colOff>
      <xdr:row>3</xdr:row>
      <xdr:rowOff>0</xdr:rowOff>
    </xdr:from>
    <xdr:to>
      <xdr:col>11</xdr:col>
      <xdr:colOff>523948</xdr:colOff>
      <xdr:row>3</xdr:row>
      <xdr:rowOff>400106</xdr:rowOff>
    </xdr:to>
    <xdr:pic>
      <xdr:nvPicPr>
        <xdr:cNvPr id="3" name="Picture 2">
          <a:extLst>
            <a:ext uri="{FF2B5EF4-FFF2-40B4-BE49-F238E27FC236}">
              <a16:creationId xmlns:a16="http://schemas.microsoft.com/office/drawing/2014/main" id="{183BCCF1-BE45-4D28-917D-9B34B799B6D6}"/>
            </a:ext>
          </a:extLst>
        </xdr:cNvPr>
        <xdr:cNvPicPr>
          <a:picLocks noChangeAspect="1"/>
        </xdr:cNvPicPr>
      </xdr:nvPicPr>
      <xdr:blipFill>
        <a:blip xmlns:r="http://schemas.openxmlformats.org/officeDocument/2006/relationships" r:embed="rId2"/>
        <a:stretch>
          <a:fillRect/>
        </a:stretch>
      </xdr:blipFill>
      <xdr:spPr>
        <a:xfrm>
          <a:off x="9721850" y="3155950"/>
          <a:ext cx="523948" cy="400106"/>
        </a:xfrm>
        <a:prstGeom prst="rect">
          <a:avLst/>
        </a:prstGeom>
      </xdr:spPr>
    </xdr:pic>
    <xdr:clientData/>
  </xdr:twoCellAnchor>
  <xdr:twoCellAnchor editAs="oneCell">
    <xdr:from>
      <xdr:col>11</xdr:col>
      <xdr:colOff>0</xdr:colOff>
      <xdr:row>4</xdr:row>
      <xdr:rowOff>0</xdr:rowOff>
    </xdr:from>
    <xdr:to>
      <xdr:col>11</xdr:col>
      <xdr:colOff>523948</xdr:colOff>
      <xdr:row>4</xdr:row>
      <xdr:rowOff>400106</xdr:rowOff>
    </xdr:to>
    <xdr:pic>
      <xdr:nvPicPr>
        <xdr:cNvPr id="4" name="Picture 3">
          <a:extLst>
            <a:ext uri="{FF2B5EF4-FFF2-40B4-BE49-F238E27FC236}">
              <a16:creationId xmlns:a16="http://schemas.microsoft.com/office/drawing/2014/main" id="{370EA370-67CA-4266-B7EC-584978747A11}"/>
            </a:ext>
          </a:extLst>
        </xdr:cNvPr>
        <xdr:cNvPicPr>
          <a:picLocks noChangeAspect="1"/>
        </xdr:cNvPicPr>
      </xdr:nvPicPr>
      <xdr:blipFill>
        <a:blip xmlns:r="http://schemas.openxmlformats.org/officeDocument/2006/relationships" r:embed="rId2"/>
        <a:stretch>
          <a:fillRect/>
        </a:stretch>
      </xdr:blipFill>
      <xdr:spPr>
        <a:xfrm>
          <a:off x="9721850" y="3663950"/>
          <a:ext cx="523948" cy="400106"/>
        </a:xfrm>
        <a:prstGeom prst="rect">
          <a:avLst/>
        </a:prstGeom>
      </xdr:spPr>
    </xdr:pic>
    <xdr:clientData/>
  </xdr:twoCellAnchor>
  <xdr:twoCellAnchor editAs="oneCell">
    <xdr:from>
      <xdr:col>11</xdr:col>
      <xdr:colOff>0</xdr:colOff>
      <xdr:row>5</xdr:row>
      <xdr:rowOff>0</xdr:rowOff>
    </xdr:from>
    <xdr:to>
      <xdr:col>11</xdr:col>
      <xdr:colOff>523948</xdr:colOff>
      <xdr:row>5</xdr:row>
      <xdr:rowOff>400106</xdr:rowOff>
    </xdr:to>
    <xdr:pic>
      <xdr:nvPicPr>
        <xdr:cNvPr id="5" name="Picture 4">
          <a:extLst>
            <a:ext uri="{FF2B5EF4-FFF2-40B4-BE49-F238E27FC236}">
              <a16:creationId xmlns:a16="http://schemas.microsoft.com/office/drawing/2014/main" id="{DEC7F196-BE51-4F8E-B555-62258B1F308C}"/>
            </a:ext>
          </a:extLst>
        </xdr:cNvPr>
        <xdr:cNvPicPr>
          <a:picLocks noChangeAspect="1"/>
        </xdr:cNvPicPr>
      </xdr:nvPicPr>
      <xdr:blipFill>
        <a:blip xmlns:r="http://schemas.openxmlformats.org/officeDocument/2006/relationships" r:embed="rId2"/>
        <a:stretch>
          <a:fillRect/>
        </a:stretch>
      </xdr:blipFill>
      <xdr:spPr>
        <a:xfrm>
          <a:off x="9721850" y="4171950"/>
          <a:ext cx="523948" cy="400106"/>
        </a:xfrm>
        <a:prstGeom prst="rect">
          <a:avLst/>
        </a:prstGeom>
      </xdr:spPr>
    </xdr:pic>
    <xdr:clientData/>
  </xdr:twoCellAnchor>
  <xdr:twoCellAnchor editAs="oneCell">
    <xdr:from>
      <xdr:col>11</xdr:col>
      <xdr:colOff>74706</xdr:colOff>
      <xdr:row>10</xdr:row>
      <xdr:rowOff>82176</xdr:rowOff>
    </xdr:from>
    <xdr:to>
      <xdr:col>11</xdr:col>
      <xdr:colOff>598654</xdr:colOff>
      <xdr:row>10</xdr:row>
      <xdr:rowOff>482282</xdr:rowOff>
    </xdr:to>
    <xdr:pic>
      <xdr:nvPicPr>
        <xdr:cNvPr id="6" name="Picture 5">
          <a:extLst>
            <a:ext uri="{FF2B5EF4-FFF2-40B4-BE49-F238E27FC236}">
              <a16:creationId xmlns:a16="http://schemas.microsoft.com/office/drawing/2014/main" id="{96E44F44-A4DF-47B9-9381-7C338BB241AF}"/>
            </a:ext>
          </a:extLst>
        </xdr:cNvPr>
        <xdr:cNvPicPr>
          <a:picLocks noChangeAspect="1"/>
        </xdr:cNvPicPr>
      </xdr:nvPicPr>
      <xdr:blipFill>
        <a:blip xmlns:r="http://schemas.openxmlformats.org/officeDocument/2006/relationships" r:embed="rId2"/>
        <a:stretch>
          <a:fillRect/>
        </a:stretch>
      </xdr:blipFill>
      <xdr:spPr>
        <a:xfrm>
          <a:off x="9796556" y="6794126"/>
          <a:ext cx="523948" cy="400106"/>
        </a:xfrm>
        <a:prstGeom prst="rect">
          <a:avLst/>
        </a:prstGeom>
      </xdr:spPr>
    </xdr:pic>
    <xdr:clientData/>
  </xdr:twoCellAnchor>
  <xdr:twoCellAnchor editAs="oneCell">
    <xdr:from>
      <xdr:col>11</xdr:col>
      <xdr:colOff>0</xdr:colOff>
      <xdr:row>11</xdr:row>
      <xdr:rowOff>0</xdr:rowOff>
    </xdr:from>
    <xdr:to>
      <xdr:col>11</xdr:col>
      <xdr:colOff>523948</xdr:colOff>
      <xdr:row>11</xdr:row>
      <xdr:rowOff>400106</xdr:rowOff>
    </xdr:to>
    <xdr:pic>
      <xdr:nvPicPr>
        <xdr:cNvPr id="7" name="Picture 6">
          <a:extLst>
            <a:ext uri="{FF2B5EF4-FFF2-40B4-BE49-F238E27FC236}">
              <a16:creationId xmlns:a16="http://schemas.microsoft.com/office/drawing/2014/main" id="{65A2F7C4-1228-49C6-B6C7-78660971AB7B}"/>
            </a:ext>
          </a:extLst>
        </xdr:cNvPr>
        <xdr:cNvPicPr>
          <a:picLocks noChangeAspect="1"/>
        </xdr:cNvPicPr>
      </xdr:nvPicPr>
      <xdr:blipFill>
        <a:blip xmlns:r="http://schemas.openxmlformats.org/officeDocument/2006/relationships" r:embed="rId2"/>
        <a:stretch>
          <a:fillRect/>
        </a:stretch>
      </xdr:blipFill>
      <xdr:spPr>
        <a:xfrm>
          <a:off x="9721850" y="7219950"/>
          <a:ext cx="523948" cy="400106"/>
        </a:xfrm>
        <a:prstGeom prst="rect">
          <a:avLst/>
        </a:prstGeom>
      </xdr:spPr>
    </xdr:pic>
    <xdr:clientData/>
  </xdr:twoCellAnchor>
  <xdr:twoCellAnchor editAs="oneCell">
    <xdr:from>
      <xdr:col>11</xdr:col>
      <xdr:colOff>0</xdr:colOff>
      <xdr:row>12</xdr:row>
      <xdr:rowOff>0</xdr:rowOff>
    </xdr:from>
    <xdr:to>
      <xdr:col>11</xdr:col>
      <xdr:colOff>523948</xdr:colOff>
      <xdr:row>12</xdr:row>
      <xdr:rowOff>400106</xdr:rowOff>
    </xdr:to>
    <xdr:pic>
      <xdr:nvPicPr>
        <xdr:cNvPr id="8" name="Picture 7">
          <a:extLst>
            <a:ext uri="{FF2B5EF4-FFF2-40B4-BE49-F238E27FC236}">
              <a16:creationId xmlns:a16="http://schemas.microsoft.com/office/drawing/2014/main" id="{B8DD72DB-4852-4C39-8920-2477D01399FE}"/>
            </a:ext>
          </a:extLst>
        </xdr:cNvPr>
        <xdr:cNvPicPr>
          <a:picLocks noChangeAspect="1"/>
        </xdr:cNvPicPr>
      </xdr:nvPicPr>
      <xdr:blipFill>
        <a:blip xmlns:r="http://schemas.openxmlformats.org/officeDocument/2006/relationships" r:embed="rId2"/>
        <a:stretch>
          <a:fillRect/>
        </a:stretch>
      </xdr:blipFill>
      <xdr:spPr>
        <a:xfrm>
          <a:off x="9721850" y="7727950"/>
          <a:ext cx="523948" cy="400106"/>
        </a:xfrm>
        <a:prstGeom prst="rect">
          <a:avLst/>
        </a:prstGeom>
      </xdr:spPr>
    </xdr:pic>
    <xdr:clientData/>
  </xdr:twoCellAnchor>
  <xdr:twoCellAnchor editAs="oneCell">
    <xdr:from>
      <xdr:col>11</xdr:col>
      <xdr:colOff>0</xdr:colOff>
      <xdr:row>7</xdr:row>
      <xdr:rowOff>0</xdr:rowOff>
    </xdr:from>
    <xdr:to>
      <xdr:col>12</xdr:col>
      <xdr:colOff>85</xdr:colOff>
      <xdr:row>7</xdr:row>
      <xdr:rowOff>457264</xdr:rowOff>
    </xdr:to>
    <xdr:pic>
      <xdr:nvPicPr>
        <xdr:cNvPr id="9" name="Picture 8">
          <a:extLst>
            <a:ext uri="{FF2B5EF4-FFF2-40B4-BE49-F238E27FC236}">
              <a16:creationId xmlns:a16="http://schemas.microsoft.com/office/drawing/2014/main" id="{BA62D7D3-5759-434C-A4DE-1F24303E1740}"/>
            </a:ext>
          </a:extLst>
        </xdr:cNvPr>
        <xdr:cNvPicPr>
          <a:picLocks noChangeAspect="1"/>
        </xdr:cNvPicPr>
      </xdr:nvPicPr>
      <xdr:blipFill>
        <a:blip xmlns:r="http://schemas.openxmlformats.org/officeDocument/2006/relationships" r:embed="rId1"/>
        <a:stretch>
          <a:fillRect/>
        </a:stretch>
      </xdr:blipFill>
      <xdr:spPr>
        <a:xfrm>
          <a:off x="9721850" y="5187950"/>
          <a:ext cx="609685" cy="457264"/>
        </a:xfrm>
        <a:prstGeom prst="rect">
          <a:avLst/>
        </a:prstGeom>
      </xdr:spPr>
    </xdr:pic>
    <xdr:clientData/>
  </xdr:twoCellAnchor>
  <xdr:twoCellAnchor editAs="oneCell">
    <xdr:from>
      <xdr:col>11</xdr:col>
      <xdr:colOff>0</xdr:colOff>
      <xdr:row>8</xdr:row>
      <xdr:rowOff>0</xdr:rowOff>
    </xdr:from>
    <xdr:to>
      <xdr:col>12</xdr:col>
      <xdr:colOff>85</xdr:colOff>
      <xdr:row>8</xdr:row>
      <xdr:rowOff>457264</xdr:rowOff>
    </xdr:to>
    <xdr:pic>
      <xdr:nvPicPr>
        <xdr:cNvPr id="10" name="Picture 9">
          <a:extLst>
            <a:ext uri="{FF2B5EF4-FFF2-40B4-BE49-F238E27FC236}">
              <a16:creationId xmlns:a16="http://schemas.microsoft.com/office/drawing/2014/main" id="{2B9BAD46-297F-4EE9-91EB-DD7DE7E316B7}"/>
            </a:ext>
          </a:extLst>
        </xdr:cNvPr>
        <xdr:cNvPicPr>
          <a:picLocks noChangeAspect="1"/>
        </xdr:cNvPicPr>
      </xdr:nvPicPr>
      <xdr:blipFill>
        <a:blip xmlns:r="http://schemas.openxmlformats.org/officeDocument/2006/relationships" r:embed="rId1"/>
        <a:stretch>
          <a:fillRect/>
        </a:stretch>
      </xdr:blipFill>
      <xdr:spPr>
        <a:xfrm>
          <a:off x="9721850" y="5695950"/>
          <a:ext cx="609685" cy="457264"/>
        </a:xfrm>
        <a:prstGeom prst="rect">
          <a:avLst/>
        </a:prstGeom>
      </xdr:spPr>
    </xdr:pic>
    <xdr:clientData/>
  </xdr:twoCellAnchor>
  <xdr:twoCellAnchor editAs="oneCell">
    <xdr:from>
      <xdr:col>11</xdr:col>
      <xdr:colOff>0</xdr:colOff>
      <xdr:row>9</xdr:row>
      <xdr:rowOff>0</xdr:rowOff>
    </xdr:from>
    <xdr:to>
      <xdr:col>12</xdr:col>
      <xdr:colOff>85</xdr:colOff>
      <xdr:row>9</xdr:row>
      <xdr:rowOff>457264</xdr:rowOff>
    </xdr:to>
    <xdr:pic>
      <xdr:nvPicPr>
        <xdr:cNvPr id="11" name="Picture 10">
          <a:extLst>
            <a:ext uri="{FF2B5EF4-FFF2-40B4-BE49-F238E27FC236}">
              <a16:creationId xmlns:a16="http://schemas.microsoft.com/office/drawing/2014/main" id="{E15630F4-1F93-46AA-9079-576975476F66}"/>
            </a:ext>
          </a:extLst>
        </xdr:cNvPr>
        <xdr:cNvPicPr>
          <a:picLocks noChangeAspect="1"/>
        </xdr:cNvPicPr>
      </xdr:nvPicPr>
      <xdr:blipFill>
        <a:blip xmlns:r="http://schemas.openxmlformats.org/officeDocument/2006/relationships" r:embed="rId1"/>
        <a:stretch>
          <a:fillRect/>
        </a:stretch>
      </xdr:blipFill>
      <xdr:spPr>
        <a:xfrm>
          <a:off x="9721850" y="6203950"/>
          <a:ext cx="609685" cy="4572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1"/>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2"/>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2"/>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2"/>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1"/>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1"/>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
        <a:stretch>
          <a:fillRect/>
        </a:stretch>
      </xdr:blipFill>
      <xdr:spPr>
        <a:xfrm>
          <a:off x="21844000" y="4145642"/>
          <a:ext cx="777550" cy="217714"/>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4"/>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4"/>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4"/>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4"/>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4"/>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5"/>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5"/>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5"/>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5"/>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5"/>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5"/>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5"/>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4"/>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5"/>
        <a:stretch>
          <a:fillRect/>
        </a:stretch>
      </xdr:blipFill>
      <xdr:spPr>
        <a:xfrm>
          <a:off x="21842186" y="13251543"/>
          <a:ext cx="718065" cy="336204"/>
        </a:xfrm>
        <a:prstGeom prst="rect">
          <a:avLst/>
        </a:prstGeom>
      </xdr:spPr>
    </xdr:pic>
    <xdr:clientData/>
  </xdr:twoCellAnchor>
  <xdr:twoCellAnchor editAs="oneCell">
    <xdr:from>
      <xdr:col>19</xdr:col>
      <xdr:colOff>235857</xdr:colOff>
      <xdr:row>28</xdr:row>
      <xdr:rowOff>54429</xdr:rowOff>
    </xdr:from>
    <xdr:to>
      <xdr:col>19</xdr:col>
      <xdr:colOff>641866</xdr:colOff>
      <xdr:row>28</xdr:row>
      <xdr:rowOff>489858</xdr:rowOff>
    </xdr:to>
    <xdr:pic>
      <xdr:nvPicPr>
        <xdr:cNvPr id="2" name="Picture 1">
          <a:extLst>
            <a:ext uri="{FF2B5EF4-FFF2-40B4-BE49-F238E27FC236}">
              <a16:creationId xmlns:a16="http://schemas.microsoft.com/office/drawing/2014/main" id="{7A502FEC-9D58-4578-867F-79B74BF14293}"/>
            </a:ext>
          </a:extLst>
        </xdr:cNvPr>
        <xdr:cNvPicPr>
          <a:picLocks noChangeAspect="1"/>
        </xdr:cNvPicPr>
      </xdr:nvPicPr>
      <xdr:blipFill>
        <a:blip xmlns:r="http://schemas.openxmlformats.org/officeDocument/2006/relationships" r:embed="rId6"/>
        <a:stretch>
          <a:fillRect/>
        </a:stretch>
      </xdr:blipFill>
      <xdr:spPr>
        <a:xfrm>
          <a:off x="22669500" y="14278429"/>
          <a:ext cx="406009" cy="435429"/>
        </a:xfrm>
        <a:prstGeom prst="rect">
          <a:avLst/>
        </a:prstGeom>
      </xdr:spPr>
    </xdr:pic>
    <xdr:clientData/>
  </xdr:twoCellAnchor>
  <xdr:twoCellAnchor editAs="oneCell">
    <xdr:from>
      <xdr:col>19</xdr:col>
      <xdr:colOff>261257</xdr:colOff>
      <xdr:row>29</xdr:row>
      <xdr:rowOff>34472</xdr:rowOff>
    </xdr:from>
    <xdr:to>
      <xdr:col>19</xdr:col>
      <xdr:colOff>667266</xdr:colOff>
      <xdr:row>29</xdr:row>
      <xdr:rowOff>469901</xdr:rowOff>
    </xdr:to>
    <xdr:pic>
      <xdr:nvPicPr>
        <xdr:cNvPr id="96" name="Picture 95">
          <a:extLst>
            <a:ext uri="{FF2B5EF4-FFF2-40B4-BE49-F238E27FC236}">
              <a16:creationId xmlns:a16="http://schemas.microsoft.com/office/drawing/2014/main" id="{8E32461F-D260-4A60-9A70-EC7F5C2F573E}"/>
            </a:ext>
          </a:extLst>
        </xdr:cNvPr>
        <xdr:cNvPicPr>
          <a:picLocks noChangeAspect="1"/>
        </xdr:cNvPicPr>
      </xdr:nvPicPr>
      <xdr:blipFill>
        <a:blip xmlns:r="http://schemas.openxmlformats.org/officeDocument/2006/relationships" r:embed="rId6"/>
        <a:stretch>
          <a:fillRect/>
        </a:stretch>
      </xdr:blipFill>
      <xdr:spPr>
        <a:xfrm>
          <a:off x="22694900" y="14766472"/>
          <a:ext cx="406009" cy="435429"/>
        </a:xfrm>
        <a:prstGeom prst="rect">
          <a:avLst/>
        </a:prstGeom>
      </xdr:spPr>
    </xdr:pic>
    <xdr:clientData/>
  </xdr:twoCellAnchor>
  <xdr:twoCellAnchor editAs="oneCell">
    <xdr:from>
      <xdr:col>19</xdr:col>
      <xdr:colOff>250371</xdr:colOff>
      <xdr:row>30</xdr:row>
      <xdr:rowOff>59872</xdr:rowOff>
    </xdr:from>
    <xdr:to>
      <xdr:col>19</xdr:col>
      <xdr:colOff>656380</xdr:colOff>
      <xdr:row>30</xdr:row>
      <xdr:rowOff>495301</xdr:rowOff>
    </xdr:to>
    <xdr:pic>
      <xdr:nvPicPr>
        <xdr:cNvPr id="104" name="Picture 103">
          <a:extLst>
            <a:ext uri="{FF2B5EF4-FFF2-40B4-BE49-F238E27FC236}">
              <a16:creationId xmlns:a16="http://schemas.microsoft.com/office/drawing/2014/main" id="{99630AAD-9D80-4176-BFC3-C526F7368092}"/>
            </a:ext>
          </a:extLst>
        </xdr:cNvPr>
        <xdr:cNvPicPr>
          <a:picLocks noChangeAspect="1"/>
        </xdr:cNvPicPr>
      </xdr:nvPicPr>
      <xdr:blipFill>
        <a:blip xmlns:r="http://schemas.openxmlformats.org/officeDocument/2006/relationships" r:embed="rId6"/>
        <a:stretch>
          <a:fillRect/>
        </a:stretch>
      </xdr:blipFill>
      <xdr:spPr>
        <a:xfrm>
          <a:off x="22684014" y="15299872"/>
          <a:ext cx="406009" cy="435429"/>
        </a:xfrm>
        <a:prstGeom prst="rect">
          <a:avLst/>
        </a:prstGeom>
      </xdr:spPr>
    </xdr:pic>
    <xdr:clientData/>
  </xdr:twoCellAnchor>
  <xdr:twoCellAnchor editAs="oneCell">
    <xdr:from>
      <xdr:col>19</xdr:col>
      <xdr:colOff>257628</xdr:colOff>
      <xdr:row>31</xdr:row>
      <xdr:rowOff>48986</xdr:rowOff>
    </xdr:from>
    <xdr:to>
      <xdr:col>19</xdr:col>
      <xdr:colOff>663637</xdr:colOff>
      <xdr:row>31</xdr:row>
      <xdr:rowOff>484415</xdr:rowOff>
    </xdr:to>
    <xdr:pic>
      <xdr:nvPicPr>
        <xdr:cNvPr id="111" name="Picture 110">
          <a:extLst>
            <a:ext uri="{FF2B5EF4-FFF2-40B4-BE49-F238E27FC236}">
              <a16:creationId xmlns:a16="http://schemas.microsoft.com/office/drawing/2014/main" id="{A4823F1C-3E28-4116-896A-C1A70E5C5939}"/>
            </a:ext>
          </a:extLst>
        </xdr:cNvPr>
        <xdr:cNvPicPr>
          <a:picLocks noChangeAspect="1"/>
        </xdr:cNvPicPr>
      </xdr:nvPicPr>
      <xdr:blipFill>
        <a:blip xmlns:r="http://schemas.openxmlformats.org/officeDocument/2006/relationships" r:embed="rId6"/>
        <a:stretch>
          <a:fillRect/>
        </a:stretch>
      </xdr:blipFill>
      <xdr:spPr>
        <a:xfrm>
          <a:off x="22691271" y="15796986"/>
          <a:ext cx="406009" cy="435429"/>
        </a:xfrm>
        <a:prstGeom prst="rect">
          <a:avLst/>
        </a:prstGeom>
      </xdr:spPr>
    </xdr:pic>
    <xdr:clientData/>
  </xdr:twoCellAnchor>
  <xdr:twoCellAnchor editAs="oneCell">
    <xdr:from>
      <xdr:col>19</xdr:col>
      <xdr:colOff>283028</xdr:colOff>
      <xdr:row>32</xdr:row>
      <xdr:rowOff>19958</xdr:rowOff>
    </xdr:from>
    <xdr:to>
      <xdr:col>19</xdr:col>
      <xdr:colOff>689037</xdr:colOff>
      <xdr:row>32</xdr:row>
      <xdr:rowOff>455387</xdr:rowOff>
    </xdr:to>
    <xdr:pic>
      <xdr:nvPicPr>
        <xdr:cNvPr id="112" name="Picture 111">
          <a:extLst>
            <a:ext uri="{FF2B5EF4-FFF2-40B4-BE49-F238E27FC236}">
              <a16:creationId xmlns:a16="http://schemas.microsoft.com/office/drawing/2014/main" id="{8C7F9C2D-9F0B-453D-8440-880F290621EC}"/>
            </a:ext>
          </a:extLst>
        </xdr:cNvPr>
        <xdr:cNvPicPr>
          <a:picLocks noChangeAspect="1"/>
        </xdr:cNvPicPr>
      </xdr:nvPicPr>
      <xdr:blipFill>
        <a:blip xmlns:r="http://schemas.openxmlformats.org/officeDocument/2006/relationships" r:embed="rId6"/>
        <a:stretch>
          <a:fillRect/>
        </a:stretch>
      </xdr:blipFill>
      <xdr:spPr>
        <a:xfrm>
          <a:off x="22716671" y="16275958"/>
          <a:ext cx="406009" cy="4354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63500</xdr:colOff>
      <xdr:row>1</xdr:row>
      <xdr:rowOff>15875</xdr:rowOff>
    </xdr:from>
    <xdr:to>
      <xdr:col>8</xdr:col>
      <xdr:colOff>549343</xdr:colOff>
      <xdr:row>1</xdr:row>
      <xdr:rowOff>444560</xdr:rowOff>
    </xdr:to>
    <xdr:pic>
      <xdr:nvPicPr>
        <xdr:cNvPr id="3" name="Picture 2">
          <a:extLst>
            <a:ext uri="{FF2B5EF4-FFF2-40B4-BE49-F238E27FC236}">
              <a16:creationId xmlns:a16="http://schemas.microsoft.com/office/drawing/2014/main" id="{832A7ECA-E8F5-4B34-B8EB-472112D02679}"/>
            </a:ext>
          </a:extLst>
        </xdr:cNvPr>
        <xdr:cNvPicPr>
          <a:picLocks noChangeAspect="1"/>
        </xdr:cNvPicPr>
      </xdr:nvPicPr>
      <xdr:blipFill>
        <a:blip xmlns:r="http://schemas.openxmlformats.org/officeDocument/2006/relationships" r:embed="rId1"/>
        <a:stretch>
          <a:fillRect/>
        </a:stretch>
      </xdr:blipFill>
      <xdr:spPr>
        <a:xfrm>
          <a:off x="10191750" y="8302625"/>
          <a:ext cx="485843" cy="428685"/>
        </a:xfrm>
        <a:prstGeom prst="rect">
          <a:avLst/>
        </a:prstGeom>
      </xdr:spPr>
    </xdr:pic>
    <xdr:clientData/>
  </xdr:twoCellAnchor>
  <xdr:twoCellAnchor editAs="oneCell">
    <xdr:from>
      <xdr:col>8</xdr:col>
      <xdr:colOff>0</xdr:colOff>
      <xdr:row>2</xdr:row>
      <xdr:rowOff>0</xdr:rowOff>
    </xdr:from>
    <xdr:to>
      <xdr:col>8</xdr:col>
      <xdr:colOff>485843</xdr:colOff>
      <xdr:row>2</xdr:row>
      <xdr:rowOff>428685</xdr:rowOff>
    </xdr:to>
    <xdr:pic>
      <xdr:nvPicPr>
        <xdr:cNvPr id="12" name="Picture 11">
          <a:extLst>
            <a:ext uri="{FF2B5EF4-FFF2-40B4-BE49-F238E27FC236}">
              <a16:creationId xmlns:a16="http://schemas.microsoft.com/office/drawing/2014/main" id="{1F34616C-19F8-4B03-B656-3EF9CF11E8E2}"/>
            </a:ext>
          </a:extLst>
        </xdr:cNvPr>
        <xdr:cNvPicPr>
          <a:picLocks noChangeAspect="1"/>
        </xdr:cNvPicPr>
      </xdr:nvPicPr>
      <xdr:blipFill>
        <a:blip xmlns:r="http://schemas.openxmlformats.org/officeDocument/2006/relationships" r:embed="rId1"/>
        <a:stretch>
          <a:fillRect/>
        </a:stretch>
      </xdr:blipFill>
      <xdr:spPr>
        <a:xfrm>
          <a:off x="10128250" y="8794750"/>
          <a:ext cx="485843" cy="42868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0" t="s">
        <v>2</v>
      </c>
    </row>
    <row r="19" spans="2:2" x14ac:dyDescent="0.35">
      <c r="B19" s="12"/>
    </row>
    <row r="20" spans="2:2" x14ac:dyDescent="0.35">
      <c r="B20" s="13"/>
    </row>
    <row r="21" spans="2:2" x14ac:dyDescent="0.35">
      <c r="B21" s="14"/>
    </row>
    <row r="22" spans="2:2" x14ac:dyDescent="0.35">
      <c r="B22" s="14"/>
    </row>
    <row r="23" spans="2:2" x14ac:dyDescent="0.35">
      <c r="B23" s="14"/>
    </row>
    <row r="24" spans="2:2" x14ac:dyDescent="0.35">
      <c r="B24" s="15"/>
    </row>
    <row r="25" spans="2:2" x14ac:dyDescent="0.35">
      <c r="B25" s="15"/>
    </row>
    <row r="26" spans="2:2" x14ac:dyDescent="0.35">
      <c r="B26" s="16"/>
    </row>
    <row r="27" spans="2:2" x14ac:dyDescent="0.35">
      <c r="B27" s="15"/>
    </row>
    <row r="28" spans="2:2" x14ac:dyDescent="0.35">
      <c r="B28" s="14"/>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343</v>
      </c>
    </row>
    <row r="3" spans="2:2" x14ac:dyDescent="0.35">
      <c r="B3" t="s">
        <v>344</v>
      </c>
    </row>
    <row r="4" spans="2:2" x14ac:dyDescent="0.35">
      <c r="B4" t="s">
        <v>345</v>
      </c>
    </row>
    <row r="5" spans="2:2" x14ac:dyDescent="0.35">
      <c r="B5" t="s">
        <v>346</v>
      </c>
    </row>
    <row r="6" spans="2:2" x14ac:dyDescent="0.35">
      <c r="B6" t="s">
        <v>347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173"/>
  <sheetViews>
    <sheetView tabSelected="1" zoomScale="85" zoomScaleNormal="85" workbookViewId="0">
      <pane ySplit="1" topLeftCell="A2" activePane="bottomLeft" state="frozen"/>
      <selection pane="bottomLeft" activeCell="B19" sqref="B19"/>
    </sheetView>
  </sheetViews>
  <sheetFormatPr defaultRowHeight="14.5" x14ac:dyDescent="0.35"/>
  <cols>
    <col min="1" max="1" width="35.453125" bestFit="1" customWidth="1"/>
    <col min="2" max="2" width="8.7265625" style="3"/>
    <col min="3" max="3" width="14.1796875" customWidth="1"/>
    <col min="5" max="5" width="10.26953125" customWidth="1"/>
    <col min="6" max="6" width="11.453125" customWidth="1"/>
    <col min="8" max="10" width="10" style="3" customWidth="1"/>
    <col min="11" max="11" width="10.7265625" style="3" customWidth="1"/>
    <col min="13" max="14" width="8.7265625" style="3"/>
    <col min="15" max="15" width="10.1796875" style="3" customWidth="1"/>
    <col min="16" max="16" width="10.7265625" style="37" customWidth="1"/>
  </cols>
  <sheetData>
    <row r="1" spans="1:19" s="1" customFormat="1" ht="48.65" customHeight="1" x14ac:dyDescent="0.35">
      <c r="A1" s="22" t="s">
        <v>3</v>
      </c>
      <c r="B1" s="22" t="s">
        <v>4</v>
      </c>
      <c r="C1" s="23" t="s">
        <v>5</v>
      </c>
      <c r="D1" s="24" t="s">
        <v>6</v>
      </c>
      <c r="E1" s="24" t="s">
        <v>7</v>
      </c>
      <c r="F1" s="24" t="s">
        <v>8</v>
      </c>
      <c r="G1" s="25" t="s">
        <v>9</v>
      </c>
      <c r="H1" s="26" t="s">
        <v>10</v>
      </c>
      <c r="I1" s="32" t="s">
        <v>11</v>
      </c>
      <c r="J1" s="57" t="s">
        <v>12</v>
      </c>
      <c r="K1" s="32" t="s">
        <v>13</v>
      </c>
      <c r="L1" s="32" t="s">
        <v>14</v>
      </c>
      <c r="M1" s="3" t="s">
        <v>15</v>
      </c>
      <c r="N1" s="3" t="s">
        <v>16</v>
      </c>
      <c r="O1" s="35" t="s">
        <v>17</v>
      </c>
      <c r="P1" s="36" t="s">
        <v>18</v>
      </c>
      <c r="Q1" s="7" t="s">
        <v>340</v>
      </c>
      <c r="R1" s="1" t="s">
        <v>26</v>
      </c>
      <c r="S1" s="1" t="s">
        <v>349</v>
      </c>
    </row>
    <row r="2" spans="1:19" s="44" customFormat="1" ht="16.5" customHeight="1" x14ac:dyDescent="0.35">
      <c r="A2" s="67" t="s">
        <v>22</v>
      </c>
      <c r="B2" s="46"/>
      <c r="C2" s="46"/>
      <c r="D2" s="46"/>
      <c r="E2" s="46"/>
      <c r="F2" s="46"/>
      <c r="G2" s="47"/>
      <c r="H2" s="42"/>
      <c r="I2" s="43"/>
      <c r="J2" s="43"/>
      <c r="K2" s="43"/>
      <c r="M2" s="43"/>
      <c r="N2" s="43"/>
      <c r="O2" s="43"/>
      <c r="P2" s="45"/>
    </row>
    <row r="3" spans="1:19" ht="40" customHeight="1" x14ac:dyDescent="0.35"/>
    <row r="4" spans="1:19" ht="40" customHeight="1" x14ac:dyDescent="0.35">
      <c r="A4" s="110" t="s">
        <v>396</v>
      </c>
      <c r="B4" s="101">
        <v>9.4</v>
      </c>
      <c r="C4" s="111"/>
      <c r="D4" s="101">
        <v>110</v>
      </c>
      <c r="E4" s="101">
        <v>112</v>
      </c>
      <c r="F4" s="101">
        <v>18</v>
      </c>
      <c r="G4" s="112">
        <v>20</v>
      </c>
      <c r="H4" s="101">
        <v>6000</v>
      </c>
      <c r="I4" s="96">
        <v>133</v>
      </c>
      <c r="J4" s="96"/>
      <c r="K4" s="96">
        <v>0</v>
      </c>
      <c r="M4" s="3" t="s">
        <v>21</v>
      </c>
      <c r="N4" s="3" t="s">
        <v>19</v>
      </c>
      <c r="O4" s="3" t="s">
        <v>20</v>
      </c>
      <c r="P4" s="37" t="s">
        <v>356</v>
      </c>
      <c r="Q4" s="3" t="s">
        <v>23</v>
      </c>
      <c r="R4" s="91" t="s">
        <v>362</v>
      </c>
    </row>
    <row r="5" spans="1:19" ht="40" customHeight="1" x14ac:dyDescent="0.35">
      <c r="A5" s="9" t="s">
        <v>397</v>
      </c>
      <c r="B5" s="113">
        <v>11.7</v>
      </c>
      <c r="C5" s="114"/>
      <c r="D5" s="113">
        <v>110</v>
      </c>
      <c r="E5" s="113">
        <v>112</v>
      </c>
      <c r="F5" s="113">
        <v>18</v>
      </c>
      <c r="G5" s="115">
        <v>20</v>
      </c>
      <c r="H5" s="113">
        <v>10000</v>
      </c>
      <c r="I5" s="3">
        <v>133</v>
      </c>
      <c r="K5" s="3">
        <v>0</v>
      </c>
      <c r="M5" s="3" t="s">
        <v>21</v>
      </c>
      <c r="N5" s="3" t="s">
        <v>19</v>
      </c>
      <c r="O5" s="3" t="s">
        <v>20</v>
      </c>
      <c r="P5" s="37" t="s">
        <v>356</v>
      </c>
      <c r="Q5" s="3" t="s">
        <v>23</v>
      </c>
      <c r="R5" s="91" t="s">
        <v>362</v>
      </c>
    </row>
    <row r="6" spans="1:19" ht="40" customHeight="1" x14ac:dyDescent="0.35">
      <c r="A6" s="110" t="s">
        <v>398</v>
      </c>
      <c r="B6" s="101">
        <v>14</v>
      </c>
      <c r="C6" s="111"/>
      <c r="D6" s="101">
        <v>110</v>
      </c>
      <c r="E6" s="101">
        <v>112</v>
      </c>
      <c r="F6" s="101">
        <v>18</v>
      </c>
      <c r="G6" s="112">
        <v>20</v>
      </c>
      <c r="H6" s="101">
        <v>13500</v>
      </c>
      <c r="I6" s="96">
        <v>133</v>
      </c>
      <c r="J6" s="96"/>
      <c r="K6" s="96">
        <v>0</v>
      </c>
      <c r="M6" s="3" t="s">
        <v>21</v>
      </c>
      <c r="N6" s="3" t="s">
        <v>19</v>
      </c>
      <c r="O6" s="3" t="s">
        <v>20</v>
      </c>
      <c r="P6" s="37" t="s">
        <v>356</v>
      </c>
      <c r="Q6" s="3" t="s">
        <v>23</v>
      </c>
      <c r="R6" s="91" t="s">
        <v>362</v>
      </c>
    </row>
    <row r="7" spans="1:19" ht="40" customHeight="1" x14ac:dyDescent="0.35">
      <c r="A7" s="9" t="s">
        <v>399</v>
      </c>
      <c r="B7" s="113">
        <v>7.1</v>
      </c>
      <c r="C7" s="114"/>
      <c r="D7" s="113">
        <v>110</v>
      </c>
      <c r="E7" s="113">
        <v>112</v>
      </c>
      <c r="F7" s="113">
        <v>18</v>
      </c>
      <c r="G7" s="115">
        <v>20</v>
      </c>
      <c r="H7" s="113">
        <v>4500</v>
      </c>
      <c r="I7" s="3">
        <v>133</v>
      </c>
      <c r="K7" s="3">
        <v>0</v>
      </c>
      <c r="M7" s="3" t="s">
        <v>400</v>
      </c>
      <c r="N7" s="3" t="s">
        <v>19</v>
      </c>
      <c r="O7" s="3" t="s">
        <v>20</v>
      </c>
      <c r="P7" s="37" t="s">
        <v>356</v>
      </c>
      <c r="Q7" s="3" t="s">
        <v>23</v>
      </c>
      <c r="R7" s="91" t="s">
        <v>362</v>
      </c>
    </row>
    <row r="8" spans="1:19" ht="40" customHeight="1" x14ac:dyDescent="0.35">
      <c r="A8" s="110" t="s">
        <v>401</v>
      </c>
      <c r="B8" s="101">
        <v>9.4</v>
      </c>
      <c r="C8" s="111"/>
      <c r="D8" s="101">
        <v>110</v>
      </c>
      <c r="E8" s="101">
        <v>112</v>
      </c>
      <c r="F8" s="101">
        <v>18</v>
      </c>
      <c r="G8" s="112">
        <v>20</v>
      </c>
      <c r="H8" s="101">
        <v>6000</v>
      </c>
      <c r="I8" s="96">
        <v>133</v>
      </c>
      <c r="J8" s="96"/>
      <c r="K8" s="96">
        <v>0</v>
      </c>
      <c r="M8" s="3" t="s">
        <v>400</v>
      </c>
      <c r="N8" s="3" t="s">
        <v>19</v>
      </c>
      <c r="O8" s="3" t="s">
        <v>20</v>
      </c>
      <c r="P8" s="37" t="s">
        <v>356</v>
      </c>
      <c r="Q8" s="3" t="s">
        <v>23</v>
      </c>
      <c r="R8" s="91" t="s">
        <v>362</v>
      </c>
    </row>
    <row r="9" spans="1:19" ht="40" customHeight="1" x14ac:dyDescent="0.35">
      <c r="A9" s="9" t="s">
        <v>402</v>
      </c>
      <c r="B9" s="113">
        <v>11.7</v>
      </c>
      <c r="C9" s="114"/>
      <c r="D9" s="113">
        <v>110</v>
      </c>
      <c r="E9" s="113">
        <v>112</v>
      </c>
      <c r="F9" s="113">
        <v>18</v>
      </c>
      <c r="G9" s="115">
        <v>20</v>
      </c>
      <c r="H9" s="113">
        <v>10000</v>
      </c>
      <c r="I9" s="3">
        <v>133</v>
      </c>
      <c r="K9" s="3">
        <v>0</v>
      </c>
      <c r="M9" s="3" t="s">
        <v>400</v>
      </c>
      <c r="N9" s="3" t="s">
        <v>19</v>
      </c>
      <c r="O9" s="3" t="s">
        <v>20</v>
      </c>
      <c r="P9" s="37" t="s">
        <v>356</v>
      </c>
      <c r="Q9" s="3" t="s">
        <v>23</v>
      </c>
      <c r="R9" s="91" t="s">
        <v>362</v>
      </c>
    </row>
    <row r="10" spans="1:19" ht="40" customHeight="1" x14ac:dyDescent="0.35">
      <c r="A10" s="110" t="s">
        <v>403</v>
      </c>
      <c r="B10" s="101">
        <v>14</v>
      </c>
      <c r="C10" s="111"/>
      <c r="D10" s="101">
        <v>110</v>
      </c>
      <c r="E10" s="101">
        <v>112</v>
      </c>
      <c r="F10" s="101">
        <v>18</v>
      </c>
      <c r="G10" s="112">
        <v>20</v>
      </c>
      <c r="H10" s="101">
        <v>13500</v>
      </c>
      <c r="I10" s="96">
        <v>133</v>
      </c>
      <c r="J10" s="96"/>
      <c r="K10" s="96">
        <v>0</v>
      </c>
      <c r="M10" s="3" t="s">
        <v>400</v>
      </c>
      <c r="N10" s="3" t="s">
        <v>19</v>
      </c>
      <c r="O10" s="3" t="s">
        <v>20</v>
      </c>
      <c r="P10" s="37" t="s">
        <v>356</v>
      </c>
      <c r="Q10" s="3" t="s">
        <v>23</v>
      </c>
      <c r="R10" s="91" t="s">
        <v>362</v>
      </c>
    </row>
    <row r="11" spans="1:19" ht="40" customHeight="1" x14ac:dyDescent="0.35">
      <c r="A11" s="116" t="s">
        <v>404</v>
      </c>
      <c r="B11" s="117">
        <v>5.6</v>
      </c>
      <c r="C11" s="95"/>
      <c r="D11" s="117">
        <v>110</v>
      </c>
      <c r="E11" s="117">
        <v>112</v>
      </c>
      <c r="F11" s="117">
        <v>18</v>
      </c>
      <c r="G11" s="118">
        <v>20</v>
      </c>
      <c r="H11" s="117">
        <v>4500</v>
      </c>
      <c r="I11" s="119">
        <v>133</v>
      </c>
      <c r="J11" s="119"/>
      <c r="K11" s="119">
        <v>33</v>
      </c>
      <c r="M11" s="3" t="s">
        <v>400</v>
      </c>
      <c r="N11" s="3" t="s">
        <v>19</v>
      </c>
      <c r="O11" s="3" t="s">
        <v>20</v>
      </c>
      <c r="P11" s="37" t="s">
        <v>356</v>
      </c>
      <c r="Q11" s="3" t="s">
        <v>23</v>
      </c>
      <c r="R11" s="91" t="s">
        <v>362</v>
      </c>
    </row>
    <row r="12" spans="1:19" ht="40" customHeight="1" x14ac:dyDescent="0.35">
      <c r="A12" s="120" t="s">
        <v>405</v>
      </c>
      <c r="B12" s="101">
        <v>7.4</v>
      </c>
      <c r="C12" s="111"/>
      <c r="D12" s="121">
        <v>110</v>
      </c>
      <c r="E12" s="121">
        <v>112</v>
      </c>
      <c r="F12" s="121">
        <v>18</v>
      </c>
      <c r="G12" s="122">
        <v>20</v>
      </c>
      <c r="H12" s="121">
        <v>6000</v>
      </c>
      <c r="I12" s="123">
        <v>133</v>
      </c>
      <c r="J12" s="123"/>
      <c r="K12" s="123">
        <v>33</v>
      </c>
      <c r="M12" s="3" t="s">
        <v>400</v>
      </c>
      <c r="N12" s="3" t="s">
        <v>19</v>
      </c>
      <c r="O12" s="3" t="s">
        <v>20</v>
      </c>
      <c r="P12" s="37" t="s">
        <v>356</v>
      </c>
      <c r="Q12" s="3" t="s">
        <v>23</v>
      </c>
      <c r="R12" s="91" t="s">
        <v>362</v>
      </c>
    </row>
    <row r="13" spans="1:19" ht="40" customHeight="1" x14ac:dyDescent="0.35">
      <c r="A13" s="116" t="s">
        <v>406</v>
      </c>
      <c r="B13" s="117">
        <v>9.1999999999999993</v>
      </c>
      <c r="C13" s="95"/>
      <c r="D13" s="117">
        <v>110</v>
      </c>
      <c r="E13" s="117">
        <v>112</v>
      </c>
      <c r="F13" s="117">
        <v>18</v>
      </c>
      <c r="G13" s="118">
        <v>20</v>
      </c>
      <c r="H13" s="117">
        <v>1200</v>
      </c>
      <c r="I13" s="119">
        <v>133</v>
      </c>
      <c r="J13" s="119"/>
      <c r="K13" s="119">
        <v>33</v>
      </c>
      <c r="M13" s="3" t="s">
        <v>400</v>
      </c>
      <c r="N13" s="3" t="s">
        <v>19</v>
      </c>
      <c r="O13" s="3" t="s">
        <v>20</v>
      </c>
      <c r="P13" s="37" t="s">
        <v>356</v>
      </c>
      <c r="Q13" s="3" t="s">
        <v>23</v>
      </c>
      <c r="R13" s="91" t="s">
        <v>362</v>
      </c>
    </row>
    <row r="14" spans="1:19" ht="40" customHeight="1" x14ac:dyDescent="0.35"/>
    <row r="15" spans="1:19" ht="40" customHeight="1" x14ac:dyDescent="0.35"/>
    <row r="16" spans="1:19" ht="40" customHeight="1" x14ac:dyDescent="0.35"/>
    <row r="17" ht="40" customHeight="1" x14ac:dyDescent="0.35"/>
    <row r="18" ht="40" customHeight="1" x14ac:dyDescent="0.35"/>
    <row r="19" ht="40" customHeight="1" x14ac:dyDescent="0.35"/>
    <row r="20" ht="40" customHeight="1" x14ac:dyDescent="0.35"/>
    <row r="21" ht="40" customHeight="1" x14ac:dyDescent="0.35"/>
    <row r="22" ht="40" customHeight="1" x14ac:dyDescent="0.35"/>
    <row r="23" ht="40" customHeight="1" x14ac:dyDescent="0.35"/>
    <row r="24" ht="40" customHeight="1" x14ac:dyDescent="0.35"/>
    <row r="25" ht="40" customHeight="1" x14ac:dyDescent="0.35"/>
    <row r="26" ht="40" customHeight="1" x14ac:dyDescent="0.35"/>
    <row r="27" ht="40" customHeight="1" x14ac:dyDescent="0.35"/>
    <row r="28" ht="40" customHeight="1" x14ac:dyDescent="0.35"/>
    <row r="29" ht="40" customHeight="1" x14ac:dyDescent="0.35"/>
    <row r="30" ht="40" customHeight="1" x14ac:dyDescent="0.35"/>
    <row r="31" ht="40" customHeight="1" x14ac:dyDescent="0.35"/>
    <row r="32"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11"/>
  <sheetViews>
    <sheetView workbookViewId="0">
      <selection activeCell="I11" sqref="I11"/>
    </sheetView>
  </sheetViews>
  <sheetFormatPr defaultRowHeight="14.5" x14ac:dyDescent="0.35"/>
  <cols>
    <col min="1" max="1" width="37.54296875" customWidth="1"/>
    <col min="2" max="2" width="34" bestFit="1" customWidth="1"/>
    <col min="4" max="4" width="9.81640625" customWidth="1"/>
    <col min="5" max="7" width="8.7265625" style="3"/>
    <col min="9" max="9" width="8.7265625" style="3"/>
    <col min="11" max="14" width="8.7265625" style="3"/>
    <col min="16" max="16" width="11.453125" customWidth="1"/>
  </cols>
  <sheetData>
    <row r="1" spans="1:16" ht="29" x14ac:dyDescent="0.35">
      <c r="A1" s="17" t="s">
        <v>122</v>
      </c>
      <c r="B1" s="17" t="s">
        <v>123</v>
      </c>
      <c r="C1" s="18" t="s">
        <v>124</v>
      </c>
      <c r="D1" s="17" t="s">
        <v>125</v>
      </c>
      <c r="E1" s="91" t="s">
        <v>314</v>
      </c>
      <c r="F1" s="17" t="s">
        <v>315</v>
      </c>
      <c r="G1" s="17" t="s">
        <v>316</v>
      </c>
      <c r="H1" s="94" t="s">
        <v>357</v>
      </c>
      <c r="I1" s="17" t="s">
        <v>317</v>
      </c>
      <c r="J1" s="17" t="s">
        <v>323</v>
      </c>
      <c r="K1" s="17" t="s">
        <v>319</v>
      </c>
      <c r="L1" s="17" t="s">
        <v>318</v>
      </c>
      <c r="M1" s="17" t="s">
        <v>320</v>
      </c>
      <c r="N1" s="17" t="s">
        <v>321</v>
      </c>
      <c r="O1" s="17" t="s">
        <v>322</v>
      </c>
      <c r="P1" s="93" t="s">
        <v>329</v>
      </c>
    </row>
    <row r="4" spans="1:16" x14ac:dyDescent="0.35">
      <c r="A4" s="99" t="s">
        <v>358</v>
      </c>
      <c r="B4" s="100">
        <v>2.8730000000000002</v>
      </c>
      <c r="C4" s="96">
        <v>125</v>
      </c>
      <c r="D4" s="96">
        <v>80</v>
      </c>
      <c r="E4" s="96" t="s">
        <v>23</v>
      </c>
      <c r="F4" s="96" t="s">
        <v>23</v>
      </c>
      <c r="G4" s="96" t="s">
        <v>23</v>
      </c>
      <c r="H4" s="97" t="s">
        <v>21</v>
      </c>
      <c r="I4" s="96" t="s">
        <v>23</v>
      </c>
      <c r="J4" s="96" t="s">
        <v>23</v>
      </c>
      <c r="K4" s="96" t="s">
        <v>23</v>
      </c>
      <c r="L4" s="96" t="s">
        <v>23</v>
      </c>
      <c r="M4" s="96" t="s">
        <v>23</v>
      </c>
      <c r="N4" s="96" t="s">
        <v>23</v>
      </c>
      <c r="O4" s="96" t="s">
        <v>23</v>
      </c>
      <c r="P4" s="80" t="s">
        <v>330</v>
      </c>
    </row>
    <row r="5" spans="1:16" x14ac:dyDescent="0.35">
      <c r="A5" s="99" t="s">
        <v>359</v>
      </c>
      <c r="B5" s="100">
        <v>4.4119999999999999</v>
      </c>
      <c r="C5" s="96">
        <v>125</v>
      </c>
      <c r="D5" s="96">
        <v>80</v>
      </c>
      <c r="E5" s="96" t="s">
        <v>23</v>
      </c>
      <c r="F5" s="96" t="s">
        <v>23</v>
      </c>
      <c r="G5" s="96" t="s">
        <v>23</v>
      </c>
      <c r="H5" s="97" t="s">
        <v>21</v>
      </c>
      <c r="I5" s="96" t="s">
        <v>23</v>
      </c>
      <c r="J5" s="96" t="s">
        <v>23</v>
      </c>
      <c r="K5" s="96" t="s">
        <v>23</v>
      </c>
      <c r="L5" s="96" t="s">
        <v>23</v>
      </c>
      <c r="M5" s="96" t="s">
        <v>23</v>
      </c>
      <c r="N5" s="96" t="s">
        <v>23</v>
      </c>
      <c r="O5" s="96" t="s">
        <v>23</v>
      </c>
      <c r="P5" s="80" t="s">
        <v>330</v>
      </c>
    </row>
    <row r="6" spans="1:16" ht="15" thickBot="1" x14ac:dyDescent="0.4">
      <c r="A6" s="99" t="s">
        <v>360</v>
      </c>
      <c r="B6" s="100">
        <v>5.9510000000000005</v>
      </c>
      <c r="C6" s="96">
        <v>125</v>
      </c>
      <c r="D6" s="96">
        <v>80</v>
      </c>
      <c r="E6" s="96" t="s">
        <v>23</v>
      </c>
      <c r="F6" s="96" t="s">
        <v>23</v>
      </c>
      <c r="G6" s="96" t="s">
        <v>23</v>
      </c>
      <c r="H6" s="98" t="s">
        <v>21</v>
      </c>
      <c r="I6" s="96" t="s">
        <v>23</v>
      </c>
      <c r="J6" s="96" t="s">
        <v>23</v>
      </c>
      <c r="K6" s="96" t="s">
        <v>23</v>
      </c>
      <c r="L6" s="96" t="s">
        <v>23</v>
      </c>
      <c r="M6" s="96" t="s">
        <v>23</v>
      </c>
      <c r="N6" s="96" t="s">
        <v>23</v>
      </c>
      <c r="O6" s="96" t="s">
        <v>23</v>
      </c>
      <c r="P6" s="80" t="s">
        <v>330</v>
      </c>
    </row>
    <row r="7" spans="1:16" ht="16" x14ac:dyDescent="0.35">
      <c r="B7" s="41"/>
    </row>
    <row r="8" spans="1:16" ht="16" x14ac:dyDescent="0.35">
      <c r="B8" s="41"/>
    </row>
    <row r="9" spans="1:16" x14ac:dyDescent="0.35">
      <c r="B9" s="40"/>
    </row>
    <row r="10" spans="1:16" x14ac:dyDescent="0.35">
      <c r="B10" s="40"/>
    </row>
    <row r="11" spans="1:16" x14ac:dyDescent="0.35">
      <c r="B11" s="40"/>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3" bestFit="1" customWidth="1"/>
    <col min="2" max="2" width="14.36328125" style="3" customWidth="1"/>
    <col min="3" max="6" width="8.7265625" style="3"/>
  </cols>
  <sheetData>
    <row r="3" spans="1:6" ht="29" x14ac:dyDescent="0.35">
      <c r="A3" s="3" t="s">
        <v>97</v>
      </c>
      <c r="B3" s="3" t="s">
        <v>98</v>
      </c>
      <c r="C3" s="3" t="s">
        <v>99</v>
      </c>
      <c r="D3" s="3" t="s">
        <v>100</v>
      </c>
      <c r="E3" s="35" t="s">
        <v>101</v>
      </c>
      <c r="F3" s="3" t="s">
        <v>102</v>
      </c>
    </row>
    <row r="6" spans="1:6" x14ac:dyDescent="0.35">
      <c r="A6" s="3" t="s">
        <v>103</v>
      </c>
      <c r="B6" s="3" t="s">
        <v>104</v>
      </c>
      <c r="C6" s="3">
        <v>65</v>
      </c>
      <c r="D6" s="3">
        <v>4000</v>
      </c>
      <c r="E6" s="3">
        <v>3</v>
      </c>
      <c r="F6" s="3">
        <v>5</v>
      </c>
    </row>
    <row r="7" spans="1:6" x14ac:dyDescent="0.35">
      <c r="A7" s="3" t="s">
        <v>103</v>
      </c>
      <c r="B7" s="3" t="s">
        <v>104</v>
      </c>
      <c r="C7" s="3" t="s">
        <v>105</v>
      </c>
      <c r="D7" s="3">
        <v>5000</v>
      </c>
      <c r="E7" s="3" t="s">
        <v>106</v>
      </c>
      <c r="F7" s="3">
        <v>5</v>
      </c>
    </row>
    <row r="8" spans="1:6" x14ac:dyDescent="0.35">
      <c r="A8" s="3" t="s">
        <v>107</v>
      </c>
      <c r="B8" s="3" t="s">
        <v>104</v>
      </c>
      <c r="C8" s="3">
        <v>65</v>
      </c>
      <c r="D8" s="3">
        <v>4000</v>
      </c>
      <c r="E8" s="3">
        <v>3</v>
      </c>
      <c r="F8" s="3">
        <v>5</v>
      </c>
    </row>
    <row r="9" spans="1:6" x14ac:dyDescent="0.35">
      <c r="A9" s="3" t="s">
        <v>108</v>
      </c>
      <c r="B9" s="3" t="s">
        <v>104</v>
      </c>
      <c r="C9" s="3" t="s">
        <v>105</v>
      </c>
      <c r="D9" s="3">
        <v>6000</v>
      </c>
      <c r="E9" s="3" t="s">
        <v>106</v>
      </c>
      <c r="F9" s="3">
        <v>5</v>
      </c>
    </row>
    <row r="10" spans="1:6" x14ac:dyDescent="0.35">
      <c r="A10" s="3" t="s">
        <v>108</v>
      </c>
      <c r="B10" s="3" t="s">
        <v>104</v>
      </c>
      <c r="C10" s="3" t="s">
        <v>105</v>
      </c>
      <c r="D10" s="3">
        <v>8000</v>
      </c>
      <c r="E10" s="3">
        <v>6</v>
      </c>
      <c r="F10" s="3">
        <v>5</v>
      </c>
    </row>
    <row r="11" spans="1:6" x14ac:dyDescent="0.35">
      <c r="A11" s="3" t="s">
        <v>108</v>
      </c>
      <c r="B11" s="3" t="s">
        <v>104</v>
      </c>
      <c r="C11" s="3" t="s">
        <v>105</v>
      </c>
      <c r="D11" s="3">
        <v>10000</v>
      </c>
      <c r="E11" s="3">
        <v>6</v>
      </c>
      <c r="F11" s="3">
        <v>3</v>
      </c>
    </row>
    <row r="13" spans="1:6" x14ac:dyDescent="0.35">
      <c r="A13" s="3" t="s">
        <v>109</v>
      </c>
      <c r="B13" s="3" t="s">
        <v>104</v>
      </c>
      <c r="C13" s="3" t="s">
        <v>110</v>
      </c>
      <c r="D13" s="3">
        <v>10000</v>
      </c>
      <c r="E13" s="3">
        <v>6</v>
      </c>
      <c r="F13" s="3">
        <v>5</v>
      </c>
    </row>
    <row r="14" spans="1:6" x14ac:dyDescent="0.35">
      <c r="A14" s="3" t="s">
        <v>109</v>
      </c>
      <c r="B14" s="3" t="s">
        <v>104</v>
      </c>
      <c r="C14" s="3" t="s">
        <v>110</v>
      </c>
      <c r="D14" s="3">
        <v>12000</v>
      </c>
      <c r="E14" s="3">
        <v>6</v>
      </c>
      <c r="F14" s="3">
        <v>3</v>
      </c>
    </row>
    <row r="17" spans="1:6" x14ac:dyDescent="0.35">
      <c r="A17" s="3" t="s">
        <v>111</v>
      </c>
      <c r="B17" s="3" t="s">
        <v>104</v>
      </c>
      <c r="C17" s="3" t="s">
        <v>112</v>
      </c>
      <c r="D17" s="3">
        <v>10000</v>
      </c>
      <c r="E17" s="3">
        <v>6</v>
      </c>
      <c r="F17" s="3">
        <v>5</v>
      </c>
    </row>
    <row r="19" spans="1:6" x14ac:dyDescent="0.35">
      <c r="A19" s="3" t="s">
        <v>103</v>
      </c>
      <c r="B19" s="3" t="s">
        <v>113</v>
      </c>
      <c r="C19" s="3">
        <v>65</v>
      </c>
      <c r="D19" s="3">
        <v>4600</v>
      </c>
      <c r="E19" s="3">
        <v>3</v>
      </c>
      <c r="F19" s="3">
        <v>2</v>
      </c>
    </row>
    <row r="20" spans="1:6" x14ac:dyDescent="0.35">
      <c r="A20" s="3" t="s">
        <v>103</v>
      </c>
      <c r="B20" s="3" t="s">
        <v>113</v>
      </c>
      <c r="C20" s="3" t="s">
        <v>105</v>
      </c>
      <c r="D20" s="3">
        <v>6100</v>
      </c>
      <c r="E20" s="3">
        <v>3</v>
      </c>
      <c r="F20" s="3">
        <v>5</v>
      </c>
    </row>
    <row r="21" spans="1:6" x14ac:dyDescent="0.35">
      <c r="A21" s="3" t="s">
        <v>108</v>
      </c>
      <c r="B21" s="3" t="s">
        <v>113</v>
      </c>
      <c r="C21" s="3" t="s">
        <v>110</v>
      </c>
      <c r="D21" s="3">
        <v>8000</v>
      </c>
      <c r="E21" s="3">
        <v>5</v>
      </c>
      <c r="F21" s="3">
        <v>5</v>
      </c>
    </row>
    <row r="45" spans="2:11" x14ac:dyDescent="0.35">
      <c r="B45" s="105"/>
      <c r="C45" s="105"/>
      <c r="D45" s="105"/>
      <c r="E45" s="105"/>
      <c r="F45" s="105"/>
      <c r="G45" s="105"/>
      <c r="H45" s="105"/>
      <c r="I45" s="105"/>
      <c r="J45" s="105"/>
      <c r="K45" s="105"/>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5"/>
  <sheetViews>
    <sheetView workbookViewId="0">
      <selection activeCell="C11" sqref="C11"/>
    </sheetView>
  </sheetViews>
  <sheetFormatPr defaultRowHeight="14.5" x14ac:dyDescent="0.35"/>
  <cols>
    <col min="2" max="2" width="22.1796875" bestFit="1" customWidth="1"/>
    <col min="3" max="3" width="15.81640625" customWidth="1"/>
    <col min="4" max="4" width="10.7265625" customWidth="1"/>
    <col min="5" max="5" width="14" style="3" bestFit="1" customWidth="1"/>
    <col min="6" max="6" width="15.81640625" style="3" customWidth="1"/>
    <col min="7" max="7" width="19.453125" style="3" bestFit="1" customWidth="1"/>
    <col min="8" max="8" width="14.7265625" customWidth="1"/>
  </cols>
  <sheetData>
    <row r="1" spans="2:8" x14ac:dyDescent="0.35">
      <c r="B1" t="s">
        <v>25</v>
      </c>
      <c r="C1" t="s">
        <v>114</v>
      </c>
      <c r="D1" t="s">
        <v>115</v>
      </c>
      <c r="E1" s="3" t="s">
        <v>116</v>
      </c>
      <c r="F1" s="3" t="s">
        <v>117</v>
      </c>
      <c r="G1" s="3" t="s">
        <v>300</v>
      </c>
      <c r="H1" t="s">
        <v>348</v>
      </c>
    </row>
    <row r="2" spans="2:8" x14ac:dyDescent="0.35">
      <c r="B2" s="99" t="s">
        <v>361</v>
      </c>
      <c r="C2" s="99" t="s">
        <v>362</v>
      </c>
      <c r="D2" s="99" t="s">
        <v>118</v>
      </c>
      <c r="E2" s="96">
        <v>2.4E-2</v>
      </c>
      <c r="F2" s="96">
        <v>12</v>
      </c>
      <c r="G2" s="96">
        <v>8</v>
      </c>
      <c r="H2" s="99" t="s">
        <v>363</v>
      </c>
    </row>
    <row r="3" spans="2:8" x14ac:dyDescent="0.35">
      <c r="B3" s="99" t="s">
        <v>364</v>
      </c>
      <c r="C3" s="99" t="s">
        <v>362</v>
      </c>
      <c r="D3" s="99" t="s">
        <v>118</v>
      </c>
      <c r="E3" s="96">
        <v>2.4E-2</v>
      </c>
      <c r="F3" s="96">
        <v>12</v>
      </c>
      <c r="G3" s="96">
        <v>15.5</v>
      </c>
      <c r="H3" s="99" t="s">
        <v>363</v>
      </c>
    </row>
    <row r="4" spans="2:8" x14ac:dyDescent="0.35">
      <c r="B4" s="99" t="s">
        <v>365</v>
      </c>
      <c r="C4" s="99" t="s">
        <v>362</v>
      </c>
      <c r="D4" s="99" t="s">
        <v>120</v>
      </c>
      <c r="E4" s="96">
        <v>0.151</v>
      </c>
      <c r="F4" s="96">
        <v>6</v>
      </c>
      <c r="G4" s="96">
        <v>6.5</v>
      </c>
      <c r="H4" s="99" t="s">
        <v>15</v>
      </c>
    </row>
    <row r="5" spans="2:8" x14ac:dyDescent="0.35">
      <c r="B5" s="99" t="s">
        <v>394</v>
      </c>
      <c r="C5" s="99" t="s">
        <v>362</v>
      </c>
      <c r="D5" s="99"/>
      <c r="E5" s="96">
        <v>0</v>
      </c>
      <c r="F5" s="96">
        <v>0</v>
      </c>
      <c r="G5" s="96">
        <v>0</v>
      </c>
      <c r="H5" s="99" t="s">
        <v>395</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8"/>
  <sheetViews>
    <sheetView workbookViewId="0">
      <selection activeCell="D18" sqref="D18"/>
    </sheetView>
  </sheetViews>
  <sheetFormatPr defaultRowHeight="14.5" x14ac:dyDescent="0.35"/>
  <cols>
    <col min="2" max="2" width="15.54296875" customWidth="1"/>
    <col min="3" max="3" width="14.81640625" style="3" customWidth="1"/>
    <col min="4" max="4" width="9.453125" style="3" customWidth="1"/>
    <col min="5" max="5" width="13.81640625" style="3" customWidth="1"/>
    <col min="6" max="6" width="12.1796875" style="3" customWidth="1"/>
    <col min="7" max="7" width="13.7265625" style="3" customWidth="1"/>
    <col min="8" max="8" width="12.81640625" style="3" customWidth="1"/>
    <col min="9" max="9" width="28.36328125" style="3" customWidth="1"/>
    <col min="10" max="10" width="42.81640625" style="3" customWidth="1"/>
    <col min="11" max="11" width="26.81640625" customWidth="1"/>
  </cols>
  <sheetData>
    <row r="1" spans="1:11" x14ac:dyDescent="0.35">
      <c r="A1" t="s">
        <v>126</v>
      </c>
      <c r="B1" t="s">
        <v>3</v>
      </c>
      <c r="C1" s="3" t="s">
        <v>339</v>
      </c>
      <c r="D1" s="3" t="s">
        <v>100</v>
      </c>
      <c r="E1" s="3" t="s">
        <v>127</v>
      </c>
      <c r="F1" s="3" t="s">
        <v>16</v>
      </c>
      <c r="G1" s="3" t="s">
        <v>128</v>
      </c>
      <c r="H1" s="3" t="s">
        <v>129</v>
      </c>
      <c r="I1" s="3" t="s">
        <v>114</v>
      </c>
      <c r="J1" t="s">
        <v>343</v>
      </c>
      <c r="K1" s="3" t="s">
        <v>130</v>
      </c>
    </row>
    <row r="2" spans="1:11" x14ac:dyDescent="0.35">
      <c r="K2" s="3"/>
    </row>
    <row r="3" spans="1:11" x14ac:dyDescent="0.35">
      <c r="A3" s="99" t="s">
        <v>389</v>
      </c>
      <c r="B3" s="99" t="s">
        <v>389</v>
      </c>
      <c r="C3" s="96" t="s">
        <v>23</v>
      </c>
      <c r="D3" s="96">
        <v>40</v>
      </c>
      <c r="E3" s="96">
        <v>30</v>
      </c>
      <c r="F3" s="96" t="s">
        <v>19</v>
      </c>
      <c r="G3" s="96"/>
      <c r="H3" s="96"/>
      <c r="I3" s="96" t="s">
        <v>362</v>
      </c>
    </row>
    <row r="4" spans="1:11" x14ac:dyDescent="0.35">
      <c r="A4" s="99" t="s">
        <v>390</v>
      </c>
      <c r="B4" s="99" t="s">
        <v>390</v>
      </c>
      <c r="C4" s="96" t="s">
        <v>23</v>
      </c>
      <c r="D4" s="96">
        <v>60</v>
      </c>
      <c r="E4" s="96">
        <v>50</v>
      </c>
      <c r="F4" s="96" t="s">
        <v>19</v>
      </c>
      <c r="G4" s="96"/>
      <c r="H4" s="96"/>
      <c r="I4" s="96" t="s">
        <v>362</v>
      </c>
    </row>
    <row r="5" spans="1:11" x14ac:dyDescent="0.35">
      <c r="A5" s="99" t="s">
        <v>391</v>
      </c>
      <c r="B5" s="99" t="s">
        <v>391</v>
      </c>
      <c r="C5" s="96" t="s">
        <v>23</v>
      </c>
      <c r="D5" s="96">
        <v>80</v>
      </c>
      <c r="E5" s="96">
        <v>65</v>
      </c>
      <c r="F5" s="96" t="s">
        <v>19</v>
      </c>
      <c r="G5" s="96"/>
      <c r="H5" s="96"/>
      <c r="I5" s="96" t="s">
        <v>362</v>
      </c>
    </row>
    <row r="6" spans="1:11" x14ac:dyDescent="0.35">
      <c r="A6" s="99" t="s">
        <v>392</v>
      </c>
      <c r="B6" s="99" t="s">
        <v>392</v>
      </c>
      <c r="C6" s="96" t="s">
        <v>23</v>
      </c>
      <c r="D6" s="96">
        <v>60</v>
      </c>
      <c r="E6" s="96">
        <v>37.5</v>
      </c>
      <c r="F6" s="96" t="s">
        <v>19</v>
      </c>
      <c r="G6" s="96"/>
      <c r="H6" s="96"/>
      <c r="I6" s="96" t="s">
        <v>362</v>
      </c>
    </row>
    <row r="7" spans="1:11" x14ac:dyDescent="0.35">
      <c r="A7" s="99" t="s">
        <v>393</v>
      </c>
      <c r="B7" s="99" t="s">
        <v>393</v>
      </c>
      <c r="C7" s="96" t="s">
        <v>23</v>
      </c>
      <c r="D7" s="96">
        <v>80</v>
      </c>
      <c r="E7" s="96">
        <v>52.5</v>
      </c>
      <c r="F7" s="96" t="s">
        <v>19</v>
      </c>
      <c r="G7" s="96"/>
      <c r="H7" s="96"/>
      <c r="I7" s="96" t="s">
        <v>362</v>
      </c>
    </row>
    <row r="8" spans="1:11" x14ac:dyDescent="0.35">
      <c r="A8" s="99" t="s">
        <v>366</v>
      </c>
      <c r="B8" s="99" t="s">
        <v>366</v>
      </c>
      <c r="C8" s="96" t="s">
        <v>21</v>
      </c>
      <c r="D8" s="96">
        <v>80</v>
      </c>
      <c r="E8" s="96">
        <v>65</v>
      </c>
      <c r="F8" s="96" t="s">
        <v>19</v>
      </c>
      <c r="G8" s="96"/>
      <c r="H8" s="96"/>
      <c r="I8" s="96" t="s">
        <v>362</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4"/>
  <sheetViews>
    <sheetView zoomScale="120" zoomScaleNormal="120" workbookViewId="0">
      <selection activeCell="E26" sqref="E26"/>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9" t="s">
        <v>3</v>
      </c>
      <c r="B1" s="9" t="s">
        <v>131</v>
      </c>
      <c r="C1" s="9" t="s">
        <v>132</v>
      </c>
      <c r="D1" s="10" t="s">
        <v>133</v>
      </c>
      <c r="E1" s="10" t="s">
        <v>134</v>
      </c>
      <c r="F1" s="11" t="s">
        <v>126</v>
      </c>
      <c r="G1" s="11" t="s">
        <v>135</v>
      </c>
      <c r="H1" s="11" t="s">
        <v>136</v>
      </c>
      <c r="I1" s="11" t="s">
        <v>137</v>
      </c>
      <c r="J1" s="11" t="s">
        <v>138</v>
      </c>
      <c r="K1" s="9" t="s">
        <v>139</v>
      </c>
      <c r="L1" s="33" t="s">
        <v>140</v>
      </c>
      <c r="M1" s="33" t="s">
        <v>267</v>
      </c>
      <c r="N1" s="33" t="s">
        <v>350</v>
      </c>
    </row>
    <row r="2" spans="1:14" x14ac:dyDescent="0.35">
      <c r="A2" s="101" t="s">
        <v>367</v>
      </c>
      <c r="B2" s="102" t="s">
        <v>141</v>
      </c>
      <c r="C2" s="101" t="s">
        <v>368</v>
      </c>
      <c r="D2" s="101">
        <v>133</v>
      </c>
      <c r="E2" s="101">
        <v>2.5</v>
      </c>
      <c r="F2" s="101">
        <v>128</v>
      </c>
      <c r="G2" s="101">
        <v>240000</v>
      </c>
      <c r="H2" s="102">
        <v>7850</v>
      </c>
    </row>
    <row r="3" spans="1:14" x14ac:dyDescent="0.35">
      <c r="A3" s="101" t="s">
        <v>369</v>
      </c>
      <c r="B3" s="102" t="s">
        <v>141</v>
      </c>
      <c r="C3" s="101" t="s">
        <v>370</v>
      </c>
      <c r="D3" s="101">
        <v>133</v>
      </c>
      <c r="E3" s="101">
        <v>3</v>
      </c>
      <c r="F3" s="101">
        <v>127</v>
      </c>
      <c r="G3" s="101">
        <v>240000</v>
      </c>
      <c r="H3" s="102">
        <v>7850</v>
      </c>
    </row>
    <row r="4" spans="1:14" x14ac:dyDescent="0.35">
      <c r="A4" s="101" t="s">
        <v>371</v>
      </c>
      <c r="B4" s="102" t="s">
        <v>141</v>
      </c>
      <c r="C4" s="101" t="s">
        <v>372</v>
      </c>
      <c r="D4" s="101">
        <v>168</v>
      </c>
      <c r="E4" s="101">
        <v>3</v>
      </c>
      <c r="F4" s="101">
        <v>162</v>
      </c>
      <c r="G4" s="101">
        <v>240000</v>
      </c>
      <c r="H4" s="102">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9"/>
  <sheetViews>
    <sheetView zoomScaleNormal="100" workbookViewId="0">
      <pane ySplit="1" topLeftCell="A2" activePane="bottomLeft" state="frozen"/>
      <selection pane="bottomLeft" activeCell="F19" sqref="F19"/>
    </sheetView>
  </sheetViews>
  <sheetFormatPr defaultRowHeight="14.5" x14ac:dyDescent="0.35"/>
  <cols>
    <col min="1" max="1" width="11.81640625" customWidth="1"/>
    <col min="2" max="2" width="13.1796875" bestFit="1" customWidth="1"/>
    <col min="3" max="3" width="11.81640625" style="3" customWidth="1"/>
    <col min="4" max="4" width="11.81640625" customWidth="1"/>
    <col min="5" max="5" width="10.81640625" customWidth="1"/>
    <col min="6" max="6" width="14.54296875" style="3"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268</v>
      </c>
      <c r="B1" t="s">
        <v>324</v>
      </c>
      <c r="C1" s="3" t="s">
        <v>269</v>
      </c>
      <c r="D1" t="s">
        <v>270</v>
      </c>
      <c r="E1" s="3" t="s">
        <v>142</v>
      </c>
      <c r="F1" s="3" t="s">
        <v>143</v>
      </c>
      <c r="G1" s="3" t="s">
        <v>144</v>
      </c>
      <c r="H1" s="3" t="s">
        <v>145</v>
      </c>
      <c r="I1" s="3" t="s">
        <v>146</v>
      </c>
      <c r="J1" s="3" t="s">
        <v>147</v>
      </c>
      <c r="K1" s="3" t="s">
        <v>271</v>
      </c>
      <c r="L1" s="3" t="s">
        <v>328</v>
      </c>
    </row>
    <row r="4" spans="1:14" x14ac:dyDescent="0.35">
      <c r="A4" s="96" t="s">
        <v>368</v>
      </c>
      <c r="B4" s="103" t="s">
        <v>367</v>
      </c>
      <c r="C4" s="96">
        <v>128</v>
      </c>
      <c r="D4" s="109">
        <f t="shared" ref="D4:D9" si="0">(E4-C4)/2</f>
        <v>-1</v>
      </c>
      <c r="E4" s="96">
        <v>126</v>
      </c>
      <c r="F4" s="96">
        <v>5</v>
      </c>
      <c r="G4" s="96">
        <v>35.5</v>
      </c>
      <c r="H4" s="99"/>
      <c r="I4" s="99"/>
      <c r="J4" s="99"/>
      <c r="K4" s="99"/>
      <c r="L4" s="99">
        <f t="shared" ref="L4:L9" si="1">PI() * G4</f>
        <v>111.52653920243766</v>
      </c>
      <c r="M4" s="99"/>
      <c r="N4" s="99">
        <f t="shared" ref="N4:N9" si="2">L4/25.4</f>
        <v>4.3908086300172311</v>
      </c>
    </row>
    <row r="5" spans="1:14" x14ac:dyDescent="0.35">
      <c r="A5" s="96" t="s">
        <v>368</v>
      </c>
      <c r="B5" s="103" t="s">
        <v>367</v>
      </c>
      <c r="C5" s="96">
        <v>128</v>
      </c>
      <c r="D5" s="109">
        <f t="shared" si="0"/>
        <v>-1</v>
      </c>
      <c r="E5" s="96">
        <v>126</v>
      </c>
      <c r="F5" s="96">
        <v>5</v>
      </c>
      <c r="G5" s="96">
        <v>45.5</v>
      </c>
      <c r="H5" s="99"/>
      <c r="I5" s="99"/>
      <c r="J5" s="99"/>
      <c r="K5" s="99"/>
      <c r="L5" s="99">
        <f t="shared" si="1"/>
        <v>142.94246573833559</v>
      </c>
      <c r="M5" s="99"/>
      <c r="N5" s="99">
        <f t="shared" si="2"/>
        <v>5.6276561314305349</v>
      </c>
    </row>
    <row r="6" spans="1:14" x14ac:dyDescent="0.35">
      <c r="A6" s="96" t="s">
        <v>370</v>
      </c>
      <c r="B6" s="103" t="s">
        <v>387</v>
      </c>
      <c r="C6" s="96">
        <v>127</v>
      </c>
      <c r="D6" s="109">
        <f t="shared" si="0"/>
        <v>-0.5</v>
      </c>
      <c r="E6" s="96">
        <v>126</v>
      </c>
      <c r="F6" s="96">
        <v>5</v>
      </c>
      <c r="G6" s="96">
        <v>35.5</v>
      </c>
      <c r="H6" s="99"/>
      <c r="I6" s="99"/>
      <c r="J6" s="99"/>
      <c r="K6" s="99"/>
      <c r="L6" s="99">
        <f t="shared" si="1"/>
        <v>111.52653920243766</v>
      </c>
      <c r="M6" s="99"/>
      <c r="N6" s="99">
        <f t="shared" si="2"/>
        <v>4.3908086300172311</v>
      </c>
    </row>
    <row r="7" spans="1:14" x14ac:dyDescent="0.35">
      <c r="A7" s="96" t="s">
        <v>370</v>
      </c>
      <c r="B7" s="103" t="s">
        <v>387</v>
      </c>
      <c r="C7" s="96">
        <v>127</v>
      </c>
      <c r="D7" s="109">
        <f t="shared" si="0"/>
        <v>-0.5</v>
      </c>
      <c r="E7" s="96">
        <v>126</v>
      </c>
      <c r="F7" s="96">
        <v>5</v>
      </c>
      <c r="G7" s="96">
        <v>45.5</v>
      </c>
      <c r="H7" s="99"/>
      <c r="I7" s="99"/>
      <c r="J7" s="99"/>
      <c r="K7" s="99"/>
      <c r="L7" s="99">
        <f t="shared" si="1"/>
        <v>142.94246573833559</v>
      </c>
      <c r="M7" s="99"/>
      <c r="N7" s="99">
        <f t="shared" si="2"/>
        <v>5.6276561314305349</v>
      </c>
    </row>
    <row r="8" spans="1:14" x14ac:dyDescent="0.35">
      <c r="A8" s="96" t="s">
        <v>372</v>
      </c>
      <c r="B8" s="103" t="s">
        <v>388</v>
      </c>
      <c r="C8" s="96">
        <v>162</v>
      </c>
      <c r="D8" s="109">
        <f t="shared" si="0"/>
        <v>-0.5</v>
      </c>
      <c r="E8" s="96">
        <v>161</v>
      </c>
      <c r="F8" s="96">
        <v>8</v>
      </c>
      <c r="G8" s="96">
        <v>35.5</v>
      </c>
      <c r="H8" s="99"/>
      <c r="I8" s="99"/>
      <c r="J8" s="99"/>
      <c r="K8" s="99"/>
      <c r="L8" s="99">
        <f t="shared" si="1"/>
        <v>111.52653920243766</v>
      </c>
      <c r="M8" s="99"/>
      <c r="N8" s="99">
        <f t="shared" si="2"/>
        <v>4.3908086300172311</v>
      </c>
    </row>
    <row r="9" spans="1:14" x14ac:dyDescent="0.35">
      <c r="A9" s="96" t="s">
        <v>372</v>
      </c>
      <c r="B9" s="103" t="s">
        <v>388</v>
      </c>
      <c r="C9" s="96">
        <v>162</v>
      </c>
      <c r="D9" s="109">
        <f t="shared" si="0"/>
        <v>-0.5</v>
      </c>
      <c r="E9" s="96">
        <v>161</v>
      </c>
      <c r="F9" s="96">
        <v>8</v>
      </c>
      <c r="G9" s="96">
        <v>45.5</v>
      </c>
      <c r="H9" s="99"/>
      <c r="I9" s="99"/>
      <c r="J9" s="99"/>
      <c r="K9" s="99"/>
      <c r="L9" s="99">
        <f t="shared" si="1"/>
        <v>142.94246573833559</v>
      </c>
      <c r="M9" s="99"/>
      <c r="N9" s="99">
        <f t="shared" si="2"/>
        <v>5.6276561314305349</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37"/>
  <sheetViews>
    <sheetView zoomScale="70" zoomScaleNormal="70" workbookViewId="0">
      <pane ySplit="1" topLeftCell="A18" activePane="bottomLeft" state="frozen"/>
      <selection pane="bottomLeft" activeCell="S35" sqref="S35"/>
    </sheetView>
  </sheetViews>
  <sheetFormatPr defaultRowHeight="14.5" x14ac:dyDescent="0.35"/>
  <cols>
    <col min="1" max="1" width="28.1796875" style="2" customWidth="1"/>
    <col min="2" max="2" width="12.90625" style="2"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3" customWidth="1"/>
    <col min="16" max="16" width="13.90625" style="1" customWidth="1"/>
    <col min="17" max="17" width="14.08984375" style="1" customWidth="1"/>
    <col min="18" max="18" width="10.54296875" style="3" customWidth="1"/>
    <col min="19" max="19" width="25" style="3" customWidth="1"/>
    <col min="20" max="20" width="12.26953125" customWidth="1"/>
    <col min="21" max="21" width="10.54296875" style="58" bestFit="1" customWidth="1"/>
    <col min="22" max="22" width="24.36328125" customWidth="1"/>
  </cols>
  <sheetData>
    <row r="1" spans="1:27" s="8" customFormat="1" ht="40" customHeight="1" x14ac:dyDescent="0.35">
      <c r="A1" s="6" t="s">
        <v>3</v>
      </c>
      <c r="B1" s="6" t="s">
        <v>98</v>
      </c>
      <c r="C1" s="7" t="s">
        <v>149</v>
      </c>
      <c r="D1" s="7" t="s">
        <v>150</v>
      </c>
      <c r="E1" s="7" t="s">
        <v>151</v>
      </c>
      <c r="F1" s="7" t="s">
        <v>152</v>
      </c>
      <c r="G1" s="7" t="s">
        <v>153</v>
      </c>
      <c r="H1" s="7" t="s">
        <v>154</v>
      </c>
      <c r="I1" s="7" t="s">
        <v>155</v>
      </c>
      <c r="J1" s="7" t="s">
        <v>156</v>
      </c>
      <c r="K1" s="7" t="s">
        <v>157</v>
      </c>
      <c r="L1" s="7" t="s">
        <v>158</v>
      </c>
      <c r="M1" s="7" t="s">
        <v>159</v>
      </c>
      <c r="N1" s="7" t="s">
        <v>160</v>
      </c>
      <c r="O1" s="35" t="s">
        <v>165</v>
      </c>
      <c r="P1" s="7" t="s">
        <v>161</v>
      </c>
      <c r="Q1" s="7" t="s">
        <v>162</v>
      </c>
      <c r="R1" s="7" t="s">
        <v>163</v>
      </c>
      <c r="S1" s="35" t="s">
        <v>164</v>
      </c>
      <c r="T1" s="8" t="s">
        <v>277</v>
      </c>
      <c r="U1" s="92" t="s">
        <v>166</v>
      </c>
      <c r="V1" s="8" t="s">
        <v>167</v>
      </c>
      <c r="W1" s="8" t="s">
        <v>351</v>
      </c>
      <c r="X1" s="8" t="s">
        <v>352</v>
      </c>
      <c r="Y1" s="8" t="s">
        <v>353</v>
      </c>
      <c r="Z1" s="8" t="s">
        <v>354</v>
      </c>
      <c r="AA1" s="8" t="s">
        <v>355</v>
      </c>
    </row>
    <row r="2" spans="1:27" ht="40" customHeight="1" x14ac:dyDescent="0.35">
      <c r="A2" s="2" t="s">
        <v>168</v>
      </c>
      <c r="B2" s="2" t="s">
        <v>148</v>
      </c>
      <c r="C2" s="1">
        <v>0</v>
      </c>
      <c r="D2" s="1">
        <v>50</v>
      </c>
      <c r="E2" s="1" t="s">
        <v>119</v>
      </c>
      <c r="F2" s="1">
        <v>12</v>
      </c>
      <c r="G2" s="1">
        <v>230</v>
      </c>
      <c r="H2" s="1" t="s">
        <v>169</v>
      </c>
      <c r="I2" s="1">
        <v>26</v>
      </c>
      <c r="J2" s="1">
        <v>605</v>
      </c>
      <c r="K2" s="1">
        <v>45</v>
      </c>
      <c r="L2" s="1" t="s">
        <v>170</v>
      </c>
      <c r="M2" s="1" t="s">
        <v>21</v>
      </c>
      <c r="N2" s="1" t="s">
        <v>23</v>
      </c>
      <c r="O2" s="3">
        <v>22</v>
      </c>
      <c r="Q2" s="38">
        <v>3</v>
      </c>
      <c r="R2" s="3">
        <v>310</v>
      </c>
    </row>
    <row r="3" spans="1:27" ht="40" customHeight="1" x14ac:dyDescent="0.35">
      <c r="A3" s="2" t="s">
        <v>171</v>
      </c>
      <c r="B3" s="2" t="s">
        <v>148</v>
      </c>
      <c r="C3" s="1">
        <v>0</v>
      </c>
      <c r="D3" s="1">
        <v>50</v>
      </c>
      <c r="E3" s="1" t="s">
        <v>119</v>
      </c>
      <c r="F3" s="1">
        <v>12</v>
      </c>
      <c r="G3" s="1">
        <v>230</v>
      </c>
      <c r="H3" s="1" t="s">
        <v>169</v>
      </c>
      <c r="I3" s="1">
        <v>23</v>
      </c>
      <c r="J3" s="1">
        <v>544</v>
      </c>
      <c r="K3" s="1">
        <v>45</v>
      </c>
      <c r="L3" s="1" t="s">
        <v>170</v>
      </c>
      <c r="M3" s="1" t="s">
        <v>21</v>
      </c>
      <c r="N3" s="1" t="s">
        <v>21</v>
      </c>
      <c r="O3" s="3">
        <v>22</v>
      </c>
      <c r="Q3" s="38">
        <v>3.3</v>
      </c>
      <c r="R3" s="3">
        <v>310</v>
      </c>
    </row>
    <row r="4" spans="1:27" ht="40" customHeight="1" x14ac:dyDescent="0.35">
      <c r="A4" s="2" t="s">
        <v>172</v>
      </c>
      <c r="B4" s="2" t="s">
        <v>148</v>
      </c>
      <c r="C4" s="1">
        <v>50.01</v>
      </c>
      <c r="D4" s="1">
        <v>100</v>
      </c>
      <c r="E4" s="1" t="s">
        <v>119</v>
      </c>
      <c r="F4" s="1">
        <v>12</v>
      </c>
      <c r="G4" s="1">
        <v>230</v>
      </c>
      <c r="H4" s="1" t="s">
        <v>169</v>
      </c>
      <c r="K4" s="1">
        <v>59</v>
      </c>
      <c r="L4" s="1" t="s">
        <v>170</v>
      </c>
      <c r="M4" s="1" t="s">
        <v>21</v>
      </c>
      <c r="N4" s="1" t="s">
        <v>23</v>
      </c>
      <c r="O4" s="3">
        <v>22</v>
      </c>
      <c r="Q4" s="38">
        <v>5</v>
      </c>
      <c r="R4" s="3">
        <v>345</v>
      </c>
    </row>
    <row r="5" spans="1:27" ht="40" customHeight="1" x14ac:dyDescent="0.35">
      <c r="A5" s="2" t="s">
        <v>173</v>
      </c>
      <c r="B5" s="2" t="s">
        <v>148</v>
      </c>
      <c r="C5" s="1">
        <v>50.01</v>
      </c>
      <c r="D5" s="1">
        <v>100</v>
      </c>
      <c r="E5" s="1" t="s">
        <v>119</v>
      </c>
      <c r="F5" s="1">
        <v>12</v>
      </c>
      <c r="G5" s="1">
        <v>230</v>
      </c>
      <c r="H5" s="1" t="s">
        <v>169</v>
      </c>
      <c r="K5" s="1">
        <v>59</v>
      </c>
      <c r="L5" s="1" t="s">
        <v>170</v>
      </c>
      <c r="M5" s="1" t="s">
        <v>21</v>
      </c>
      <c r="N5" s="1" t="s">
        <v>21</v>
      </c>
      <c r="O5" s="3">
        <v>22</v>
      </c>
      <c r="Q5" s="38">
        <v>5.2</v>
      </c>
      <c r="R5" s="3">
        <v>345</v>
      </c>
    </row>
    <row r="6" spans="1:27" ht="40" customHeight="1" x14ac:dyDescent="0.35">
      <c r="A6" s="2" t="s">
        <v>174</v>
      </c>
      <c r="B6" s="2" t="s">
        <v>148</v>
      </c>
      <c r="C6" s="1">
        <v>100.01</v>
      </c>
      <c r="D6" s="1">
        <v>150</v>
      </c>
      <c r="E6" s="1" t="s">
        <v>119</v>
      </c>
      <c r="F6" s="1">
        <v>10</v>
      </c>
      <c r="G6" s="1">
        <v>230</v>
      </c>
      <c r="H6" s="1" t="s">
        <v>169</v>
      </c>
      <c r="K6" s="1">
        <v>59</v>
      </c>
      <c r="L6" s="1" t="s">
        <v>170</v>
      </c>
      <c r="M6" s="1" t="s">
        <v>21</v>
      </c>
      <c r="N6" s="1" t="s">
        <v>23</v>
      </c>
      <c r="O6" s="3">
        <v>22</v>
      </c>
      <c r="Q6" s="38">
        <v>8</v>
      </c>
      <c r="R6" s="3">
        <v>390</v>
      </c>
    </row>
    <row r="7" spans="1:27" ht="40" customHeight="1" x14ac:dyDescent="0.35">
      <c r="A7" s="2" t="s">
        <v>175</v>
      </c>
      <c r="B7" s="2" t="s">
        <v>148</v>
      </c>
      <c r="C7" s="1">
        <v>100.01</v>
      </c>
      <c r="D7" s="1">
        <v>150</v>
      </c>
      <c r="E7" s="1" t="s">
        <v>119</v>
      </c>
      <c r="F7" s="1">
        <v>10</v>
      </c>
      <c r="G7" s="1">
        <v>230</v>
      </c>
      <c r="H7" s="1" t="s">
        <v>169</v>
      </c>
      <c r="K7" s="1">
        <v>59</v>
      </c>
      <c r="L7" s="1" t="s">
        <v>170</v>
      </c>
      <c r="M7" s="1" t="s">
        <v>21</v>
      </c>
      <c r="N7" s="1" t="s">
        <v>21</v>
      </c>
      <c r="O7" s="3">
        <v>22</v>
      </c>
      <c r="Q7" s="38">
        <v>8.3000000000000007</v>
      </c>
      <c r="R7" s="3">
        <v>390</v>
      </c>
    </row>
    <row r="8" spans="1:27" ht="40" customHeight="1" x14ac:dyDescent="0.35">
      <c r="A8" s="2" t="s">
        <v>176</v>
      </c>
      <c r="B8" s="2" t="s">
        <v>148</v>
      </c>
      <c r="C8" s="1">
        <v>150.01</v>
      </c>
      <c r="D8" s="1">
        <v>230</v>
      </c>
      <c r="E8" s="1" t="s">
        <v>119</v>
      </c>
      <c r="F8" s="1">
        <v>6</v>
      </c>
      <c r="G8" s="1">
        <v>230</v>
      </c>
      <c r="H8" s="1" t="s">
        <v>169</v>
      </c>
      <c r="K8" s="1">
        <v>92</v>
      </c>
      <c r="L8" s="1" t="s">
        <v>170</v>
      </c>
      <c r="M8" s="1" t="s">
        <v>21</v>
      </c>
      <c r="N8" s="1" t="s">
        <v>21</v>
      </c>
      <c r="O8" s="3">
        <v>22</v>
      </c>
      <c r="Q8" s="38">
        <v>12</v>
      </c>
      <c r="R8" s="3">
        <v>570</v>
      </c>
    </row>
    <row r="9" spans="1:27" ht="40" customHeight="1" x14ac:dyDescent="0.35">
      <c r="A9" s="2" t="s">
        <v>177</v>
      </c>
      <c r="B9" s="2" t="s">
        <v>148</v>
      </c>
      <c r="C9" s="1">
        <v>230.01</v>
      </c>
      <c r="D9" s="1">
        <v>350</v>
      </c>
      <c r="E9" s="1" t="s">
        <v>119</v>
      </c>
      <c r="F9" s="1">
        <v>7</v>
      </c>
      <c r="G9" s="1">
        <v>230</v>
      </c>
      <c r="H9" s="1" t="s">
        <v>169</v>
      </c>
      <c r="K9" s="1">
        <v>92</v>
      </c>
      <c r="L9" s="1" t="s">
        <v>170</v>
      </c>
      <c r="M9" s="1" t="s">
        <v>21</v>
      </c>
      <c r="N9" s="1" t="s">
        <v>21</v>
      </c>
      <c r="O9" s="3">
        <v>22</v>
      </c>
      <c r="Q9" s="38">
        <v>14</v>
      </c>
      <c r="R9" s="3">
        <v>670</v>
      </c>
    </row>
    <row r="10" spans="1:27" ht="40" customHeight="1" x14ac:dyDescent="0.35">
      <c r="A10" s="2" t="s">
        <v>178</v>
      </c>
      <c r="B10" s="2" t="s">
        <v>178</v>
      </c>
      <c r="C10" s="2" t="s">
        <v>178</v>
      </c>
      <c r="D10" s="2" t="s">
        <v>178</v>
      </c>
      <c r="H10" s="68" t="s">
        <v>265</v>
      </c>
      <c r="N10" s="68" t="s">
        <v>265</v>
      </c>
      <c r="Q10" s="38"/>
    </row>
    <row r="11" spans="1:27" ht="40" customHeight="1" x14ac:dyDescent="0.35">
      <c r="A11" s="2" t="s">
        <v>179</v>
      </c>
      <c r="B11" s="2" t="s">
        <v>180</v>
      </c>
      <c r="C11" s="1">
        <f>D9+0.01</f>
        <v>350.01</v>
      </c>
      <c r="D11" s="1">
        <v>450</v>
      </c>
      <c r="E11" s="1" t="s">
        <v>119</v>
      </c>
      <c r="F11" s="1">
        <v>8</v>
      </c>
      <c r="G11" s="1">
        <v>230</v>
      </c>
      <c r="H11" s="1" t="s">
        <v>169</v>
      </c>
      <c r="I11" s="1">
        <v>85</v>
      </c>
      <c r="K11" s="1">
        <v>89</v>
      </c>
      <c r="L11" s="1" t="s">
        <v>170</v>
      </c>
      <c r="M11" s="1" t="s">
        <v>21</v>
      </c>
      <c r="N11" s="1" t="s">
        <v>23</v>
      </c>
      <c r="Q11" s="38">
        <v>16</v>
      </c>
      <c r="R11" s="3">
        <v>1200</v>
      </c>
    </row>
    <row r="12" spans="1:27" ht="40" customHeight="1" x14ac:dyDescent="0.35">
      <c r="A12" s="2" t="s">
        <v>181</v>
      </c>
      <c r="B12" s="2" t="s">
        <v>180</v>
      </c>
      <c r="C12" s="1">
        <f>D11+0.01</f>
        <v>450.01</v>
      </c>
      <c r="D12" s="1">
        <v>600</v>
      </c>
      <c r="E12" s="1" t="s">
        <v>119</v>
      </c>
      <c r="F12" s="1">
        <v>9</v>
      </c>
      <c r="G12" s="1">
        <v>230</v>
      </c>
      <c r="H12" s="1" t="s">
        <v>169</v>
      </c>
      <c r="I12" s="1">
        <v>83</v>
      </c>
      <c r="K12" s="1">
        <v>89</v>
      </c>
      <c r="L12" s="1" t="s">
        <v>170</v>
      </c>
      <c r="M12" s="1" t="s">
        <v>21</v>
      </c>
      <c r="N12" s="1" t="s">
        <v>23</v>
      </c>
      <c r="Q12" s="38">
        <v>19</v>
      </c>
      <c r="R12" s="3">
        <v>920</v>
      </c>
    </row>
    <row r="13" spans="1:27" s="74" customFormat="1" ht="40" customHeight="1" x14ac:dyDescent="0.35">
      <c r="A13" s="71" t="s">
        <v>178</v>
      </c>
      <c r="B13" s="71" t="s">
        <v>178</v>
      </c>
      <c r="C13" s="71" t="s">
        <v>178</v>
      </c>
      <c r="D13" s="71" t="s">
        <v>178</v>
      </c>
      <c r="E13" s="72"/>
      <c r="F13" s="72"/>
      <c r="G13" s="72"/>
      <c r="H13" s="73" t="s">
        <v>265</v>
      </c>
      <c r="I13" s="72"/>
      <c r="J13" s="72"/>
      <c r="K13" s="72"/>
      <c r="L13" s="72"/>
      <c r="M13" s="72"/>
      <c r="N13" s="73" t="s">
        <v>265</v>
      </c>
      <c r="O13" s="75"/>
      <c r="P13" s="72"/>
      <c r="Q13" s="72"/>
      <c r="R13" s="75"/>
      <c r="S13" s="75"/>
      <c r="U13" s="76"/>
    </row>
    <row r="14" spans="1:27" s="40" customFormat="1" ht="40" customHeight="1" x14ac:dyDescent="0.35">
      <c r="A14" s="2" t="s">
        <v>182</v>
      </c>
      <c r="B14" s="2" t="s">
        <v>183</v>
      </c>
      <c r="C14" s="1">
        <v>0</v>
      </c>
      <c r="D14" s="1">
        <v>10</v>
      </c>
      <c r="E14" s="1" t="s">
        <v>119</v>
      </c>
      <c r="F14" s="1">
        <v>32</v>
      </c>
      <c r="G14" s="1">
        <v>230</v>
      </c>
      <c r="H14" s="1" t="s">
        <v>169</v>
      </c>
      <c r="I14" s="1">
        <v>23</v>
      </c>
      <c r="J14" s="1">
        <v>555</v>
      </c>
      <c r="K14" s="1">
        <v>48</v>
      </c>
      <c r="L14" s="1" t="s">
        <v>170</v>
      </c>
      <c r="M14" s="1" t="s">
        <v>21</v>
      </c>
      <c r="N14" s="1" t="s">
        <v>23</v>
      </c>
      <c r="O14" s="1">
        <v>46</v>
      </c>
      <c r="P14" s="1"/>
      <c r="Q14" s="1">
        <v>2.44</v>
      </c>
      <c r="R14" s="1">
        <v>160</v>
      </c>
      <c r="S14" s="1"/>
      <c r="U14" s="77"/>
    </row>
    <row r="15" spans="1:27" s="40" customFormat="1" ht="40" customHeight="1" x14ac:dyDescent="0.35">
      <c r="A15" s="2" t="s">
        <v>184</v>
      </c>
      <c r="B15" s="2" t="s">
        <v>183</v>
      </c>
      <c r="C15" s="1">
        <f t="shared" ref="C15:C27" si="0">D14+0.01</f>
        <v>10.01</v>
      </c>
      <c r="D15" s="1">
        <v>20</v>
      </c>
      <c r="E15" s="1" t="s">
        <v>119</v>
      </c>
      <c r="F15" s="1">
        <v>17</v>
      </c>
      <c r="G15" s="1">
        <v>230</v>
      </c>
      <c r="H15" s="1" t="s">
        <v>169</v>
      </c>
      <c r="I15" s="1">
        <v>28</v>
      </c>
      <c r="J15" s="1">
        <v>774</v>
      </c>
      <c r="K15" s="1">
        <v>48</v>
      </c>
      <c r="L15" s="1" t="s">
        <v>170</v>
      </c>
      <c r="M15" s="1" t="s">
        <v>21</v>
      </c>
      <c r="N15" s="1" t="s">
        <v>21</v>
      </c>
      <c r="O15" s="1">
        <v>34</v>
      </c>
      <c r="P15" s="1"/>
      <c r="Q15" s="1">
        <v>2.76</v>
      </c>
      <c r="R15" s="1">
        <v>160</v>
      </c>
      <c r="S15" s="1"/>
      <c r="U15" s="77"/>
    </row>
    <row r="16" spans="1:27" s="40" customFormat="1" ht="40" customHeight="1" x14ac:dyDescent="0.35">
      <c r="A16" s="2" t="s">
        <v>278</v>
      </c>
      <c r="B16" s="2" t="s">
        <v>183</v>
      </c>
      <c r="C16" s="1">
        <f t="shared" si="0"/>
        <v>20.010000000000002</v>
      </c>
      <c r="D16" s="1">
        <v>25</v>
      </c>
      <c r="E16" s="1" t="s">
        <v>119</v>
      </c>
      <c r="F16" s="1">
        <v>17</v>
      </c>
      <c r="G16" s="1">
        <v>230</v>
      </c>
      <c r="H16" s="1" t="s">
        <v>169</v>
      </c>
      <c r="I16" s="1"/>
      <c r="J16" s="1">
        <v>663</v>
      </c>
      <c r="K16" s="1">
        <v>48</v>
      </c>
      <c r="L16" s="1" t="s">
        <v>170</v>
      </c>
      <c r="M16" s="1" t="s">
        <v>21</v>
      </c>
      <c r="N16" s="1" t="s">
        <v>23</v>
      </c>
      <c r="O16" s="1">
        <v>46</v>
      </c>
      <c r="P16" s="1"/>
      <c r="Q16" s="1">
        <v>3.09</v>
      </c>
      <c r="R16" s="1">
        <v>180</v>
      </c>
      <c r="S16" s="1"/>
      <c r="U16" s="77"/>
    </row>
    <row r="17" spans="1:21" s="40" customFormat="1" ht="40" customHeight="1" x14ac:dyDescent="0.35">
      <c r="A17" s="40" t="s">
        <v>185</v>
      </c>
      <c r="B17" s="2" t="s">
        <v>183</v>
      </c>
      <c r="C17" s="1">
        <f>D16+0.01</f>
        <v>25.01</v>
      </c>
      <c r="D17" s="1">
        <v>30</v>
      </c>
      <c r="E17" s="1" t="s">
        <v>119</v>
      </c>
      <c r="F17" s="1">
        <v>12</v>
      </c>
      <c r="G17" s="1">
        <v>230</v>
      </c>
      <c r="H17" s="1" t="s">
        <v>169</v>
      </c>
      <c r="I17" s="1"/>
      <c r="J17" s="1"/>
      <c r="K17" s="1">
        <v>48</v>
      </c>
      <c r="L17" s="1" t="s">
        <v>170</v>
      </c>
      <c r="M17" s="1" t="s">
        <v>21</v>
      </c>
      <c r="N17" s="1" t="s">
        <v>21</v>
      </c>
      <c r="O17" s="1">
        <v>46</v>
      </c>
      <c r="Q17" s="1">
        <v>3.2</v>
      </c>
      <c r="R17" s="1">
        <v>240</v>
      </c>
    </row>
    <row r="18" spans="1:21" s="40" customFormat="1" ht="40" customHeight="1" x14ac:dyDescent="0.35">
      <c r="A18" s="40" t="s">
        <v>186</v>
      </c>
      <c r="B18" s="2" t="s">
        <v>183</v>
      </c>
      <c r="C18" s="1">
        <f>C17</f>
        <v>25.01</v>
      </c>
      <c r="D18" s="1">
        <v>30</v>
      </c>
      <c r="E18" s="1" t="s">
        <v>119</v>
      </c>
      <c r="F18" s="1">
        <v>17</v>
      </c>
      <c r="G18" s="1">
        <v>230</v>
      </c>
      <c r="H18" s="1" t="s">
        <v>169</v>
      </c>
      <c r="I18" s="1"/>
      <c r="J18" s="1"/>
      <c r="K18" s="1">
        <v>48</v>
      </c>
      <c r="L18" s="1" t="s">
        <v>170</v>
      </c>
      <c r="M18" s="1" t="s">
        <v>21</v>
      </c>
      <c r="N18" s="1" t="s">
        <v>21</v>
      </c>
      <c r="O18" s="1">
        <v>34</v>
      </c>
      <c r="Q18" s="1">
        <v>3.2</v>
      </c>
      <c r="R18" s="1">
        <v>240</v>
      </c>
    </row>
    <row r="19" spans="1:21" s="40" customFormat="1" ht="40" customHeight="1" x14ac:dyDescent="0.35">
      <c r="A19" s="2" t="s">
        <v>187</v>
      </c>
      <c r="B19" s="2" t="s">
        <v>183</v>
      </c>
      <c r="C19" s="1">
        <f>D17+0.01</f>
        <v>30.01</v>
      </c>
      <c r="D19" s="1">
        <v>35</v>
      </c>
      <c r="E19" s="1" t="s">
        <v>119</v>
      </c>
      <c r="F19" s="1">
        <v>17</v>
      </c>
      <c r="G19" s="1">
        <v>230</v>
      </c>
      <c r="H19" s="1" t="s">
        <v>169</v>
      </c>
      <c r="I19" s="1"/>
      <c r="J19" s="1"/>
      <c r="K19" s="1">
        <v>48</v>
      </c>
      <c r="L19" s="1" t="s">
        <v>170</v>
      </c>
      <c r="M19" s="1" t="s">
        <v>21</v>
      </c>
      <c r="N19" s="1" t="s">
        <v>23</v>
      </c>
      <c r="O19" s="1">
        <v>46</v>
      </c>
      <c r="P19" s="1"/>
      <c r="Q19" s="1">
        <v>3.38</v>
      </c>
      <c r="R19" s="1">
        <v>270</v>
      </c>
      <c r="S19" s="1"/>
      <c r="U19" s="77"/>
    </row>
    <row r="20" spans="1:21" s="40" customFormat="1" ht="40" customHeight="1" x14ac:dyDescent="0.35">
      <c r="A20" s="2" t="s">
        <v>188</v>
      </c>
      <c r="B20" s="2" t="s">
        <v>183</v>
      </c>
      <c r="C20" s="1">
        <f t="shared" si="0"/>
        <v>35.01</v>
      </c>
      <c r="D20" s="1">
        <v>40</v>
      </c>
      <c r="E20" s="1" t="s">
        <v>119</v>
      </c>
      <c r="F20" s="1">
        <v>17</v>
      </c>
      <c r="G20" s="1">
        <v>230</v>
      </c>
      <c r="H20" s="1" t="s">
        <v>169</v>
      </c>
      <c r="I20" s="1"/>
      <c r="J20" s="1"/>
      <c r="K20" s="1">
        <v>48</v>
      </c>
      <c r="L20" s="1" t="s">
        <v>170</v>
      </c>
      <c r="M20" s="1" t="s">
        <v>21</v>
      </c>
      <c r="N20" s="1" t="s">
        <v>21</v>
      </c>
      <c r="O20" s="1">
        <v>34</v>
      </c>
      <c r="P20" s="1"/>
      <c r="Q20" s="1">
        <v>3.38</v>
      </c>
      <c r="R20" s="1">
        <v>270</v>
      </c>
      <c r="S20" s="1"/>
      <c r="U20" s="77"/>
    </row>
    <row r="21" spans="1:21" s="40" customFormat="1" ht="40" customHeight="1" x14ac:dyDescent="0.35">
      <c r="A21" s="2" t="s">
        <v>189</v>
      </c>
      <c r="B21" s="2" t="s">
        <v>183</v>
      </c>
      <c r="C21" s="1">
        <f t="shared" si="0"/>
        <v>40.01</v>
      </c>
      <c r="D21" s="1">
        <v>50</v>
      </c>
      <c r="E21" s="1" t="s">
        <v>119</v>
      </c>
      <c r="F21" s="1">
        <v>12</v>
      </c>
      <c r="G21" s="1">
        <v>230</v>
      </c>
      <c r="H21" s="1" t="s">
        <v>169</v>
      </c>
      <c r="I21" s="1"/>
      <c r="J21" s="1"/>
      <c r="K21" s="1">
        <v>48</v>
      </c>
      <c r="L21" s="1" t="s">
        <v>170</v>
      </c>
      <c r="M21" s="1" t="s">
        <v>21</v>
      </c>
      <c r="N21" s="1" t="s">
        <v>23</v>
      </c>
      <c r="O21" s="1">
        <v>46</v>
      </c>
      <c r="P21" s="1"/>
      <c r="Q21" s="1">
        <v>3.09</v>
      </c>
      <c r="R21" s="1">
        <v>240</v>
      </c>
      <c r="S21" s="1"/>
      <c r="U21" s="77"/>
    </row>
    <row r="22" spans="1:21" s="40" customFormat="1" ht="40" customHeight="1" x14ac:dyDescent="0.35">
      <c r="A22" s="2" t="s">
        <v>190</v>
      </c>
      <c r="B22" s="2" t="s">
        <v>183</v>
      </c>
      <c r="C22" s="1">
        <f t="shared" si="0"/>
        <v>50.01</v>
      </c>
      <c r="D22" s="1">
        <v>55</v>
      </c>
      <c r="E22" s="1" t="s">
        <v>119</v>
      </c>
      <c r="F22" s="1">
        <v>17</v>
      </c>
      <c r="G22" s="1">
        <v>230</v>
      </c>
      <c r="H22" s="1" t="s">
        <v>169</v>
      </c>
      <c r="I22" s="1"/>
      <c r="J22" s="1">
        <v>800</v>
      </c>
      <c r="K22" s="1">
        <v>60</v>
      </c>
      <c r="L22" s="1" t="s">
        <v>170</v>
      </c>
      <c r="M22" s="1" t="s">
        <v>21</v>
      </c>
      <c r="N22" s="1" t="s">
        <v>21</v>
      </c>
      <c r="O22" s="1">
        <v>34</v>
      </c>
      <c r="P22" s="1"/>
      <c r="Q22" s="1">
        <v>4.17</v>
      </c>
      <c r="R22" s="1">
        <v>290</v>
      </c>
      <c r="S22" s="1"/>
      <c r="U22" s="77"/>
    </row>
    <row r="23" spans="1:21" s="40" customFormat="1" ht="40" customHeight="1" x14ac:dyDescent="0.35">
      <c r="A23" s="2" t="s">
        <v>191</v>
      </c>
      <c r="B23" s="2" t="s">
        <v>183</v>
      </c>
      <c r="C23" s="1">
        <f t="shared" si="0"/>
        <v>55.01</v>
      </c>
      <c r="D23" s="1">
        <v>60</v>
      </c>
      <c r="E23" s="1" t="s">
        <v>119</v>
      </c>
      <c r="F23" s="1">
        <v>12</v>
      </c>
      <c r="G23" s="1">
        <v>230</v>
      </c>
      <c r="H23" s="1" t="s">
        <v>169</v>
      </c>
      <c r="I23" s="1"/>
      <c r="J23" s="1">
        <v>646</v>
      </c>
      <c r="K23" s="1">
        <v>60</v>
      </c>
      <c r="L23" s="1" t="s">
        <v>170</v>
      </c>
      <c r="M23" s="1" t="s">
        <v>21</v>
      </c>
      <c r="N23" s="1" t="s">
        <v>21</v>
      </c>
      <c r="O23" s="1">
        <v>34</v>
      </c>
      <c r="P23" s="1"/>
      <c r="Q23" s="1">
        <v>3.92</v>
      </c>
      <c r="R23" s="1">
        <v>320</v>
      </c>
      <c r="S23" s="1"/>
      <c r="U23" s="77"/>
    </row>
    <row r="24" spans="1:21" s="40" customFormat="1" ht="40" customHeight="1" x14ac:dyDescent="0.35">
      <c r="A24" s="2" t="s">
        <v>192</v>
      </c>
      <c r="B24" s="2" t="s">
        <v>183</v>
      </c>
      <c r="C24" s="1">
        <f>D23+0.01</f>
        <v>60.01</v>
      </c>
      <c r="D24" s="1">
        <v>80</v>
      </c>
      <c r="E24" s="1" t="s">
        <v>119</v>
      </c>
      <c r="F24" s="1">
        <v>12</v>
      </c>
      <c r="G24" s="1">
        <v>230</v>
      </c>
      <c r="H24" s="1" t="s">
        <v>169</v>
      </c>
      <c r="I24" s="1"/>
      <c r="J24" s="1"/>
      <c r="K24" s="1">
        <v>60</v>
      </c>
      <c r="L24" s="1" t="s">
        <v>170</v>
      </c>
      <c r="M24" s="1" t="s">
        <v>21</v>
      </c>
      <c r="N24" s="1" t="s">
        <v>21</v>
      </c>
      <c r="O24" s="1">
        <v>34</v>
      </c>
      <c r="P24" s="1"/>
      <c r="Q24" s="1">
        <v>4.1900000000000004</v>
      </c>
      <c r="R24" s="1">
        <v>290</v>
      </c>
      <c r="S24" s="1"/>
      <c r="U24" s="77"/>
    </row>
    <row r="25" spans="1:21" s="40" customFormat="1" ht="40" customHeight="1" x14ac:dyDescent="0.35">
      <c r="A25" s="2" t="s">
        <v>193</v>
      </c>
      <c r="B25" s="2" t="s">
        <v>183</v>
      </c>
      <c r="C25" s="1">
        <f t="shared" si="0"/>
        <v>80.010000000000005</v>
      </c>
      <c r="D25" s="1">
        <v>85</v>
      </c>
      <c r="E25" s="1" t="s">
        <v>119</v>
      </c>
      <c r="F25" s="1">
        <v>17</v>
      </c>
      <c r="G25" s="1">
        <v>230</v>
      </c>
      <c r="H25" s="1" t="s">
        <v>169</v>
      </c>
      <c r="I25" s="1"/>
      <c r="J25" s="1"/>
      <c r="K25" s="1">
        <v>60</v>
      </c>
      <c r="L25" s="1" t="s">
        <v>170</v>
      </c>
      <c r="M25" s="1" t="s">
        <v>21</v>
      </c>
      <c r="N25" s="1" t="s">
        <v>23</v>
      </c>
      <c r="O25" s="1">
        <v>34</v>
      </c>
      <c r="P25" s="1"/>
      <c r="Q25" s="1">
        <v>4.45</v>
      </c>
      <c r="R25" s="1">
        <v>450</v>
      </c>
      <c r="S25" s="1"/>
      <c r="U25" s="77"/>
    </row>
    <row r="26" spans="1:21" s="40" customFormat="1" ht="40" customHeight="1" x14ac:dyDescent="0.35">
      <c r="A26" s="2" t="s">
        <v>194</v>
      </c>
      <c r="B26" s="2" t="s">
        <v>183</v>
      </c>
      <c r="C26" s="1">
        <f t="shared" si="0"/>
        <v>85.01</v>
      </c>
      <c r="D26" s="1">
        <v>100</v>
      </c>
      <c r="E26" s="1" t="s">
        <v>119</v>
      </c>
      <c r="F26" s="1">
        <v>12</v>
      </c>
      <c r="G26" s="1">
        <v>230</v>
      </c>
      <c r="H26" s="1" t="s">
        <v>169</v>
      </c>
      <c r="I26" s="1"/>
      <c r="J26" s="1">
        <v>681</v>
      </c>
      <c r="K26" s="1">
        <v>60</v>
      </c>
      <c r="L26" s="1" t="s">
        <v>170</v>
      </c>
      <c r="M26" s="1" t="s">
        <v>21</v>
      </c>
      <c r="N26" s="1" t="s">
        <v>21</v>
      </c>
      <c r="O26" s="1">
        <v>34</v>
      </c>
      <c r="P26" s="1"/>
      <c r="Q26" s="1">
        <v>4.68</v>
      </c>
      <c r="R26" s="1">
        <v>410</v>
      </c>
      <c r="S26" s="1"/>
      <c r="U26" s="77"/>
    </row>
    <row r="27" spans="1:21" s="40" customFormat="1" ht="40" customHeight="1" x14ac:dyDescent="0.35">
      <c r="A27" s="2" t="s">
        <v>195</v>
      </c>
      <c r="B27" s="2" t="s">
        <v>183</v>
      </c>
      <c r="C27" s="1">
        <f t="shared" si="0"/>
        <v>100.01</v>
      </c>
      <c r="D27" s="1">
        <v>120</v>
      </c>
      <c r="E27" s="1" t="s">
        <v>119</v>
      </c>
      <c r="F27" s="1">
        <v>12</v>
      </c>
      <c r="G27" s="1">
        <v>230</v>
      </c>
      <c r="H27" s="1" t="s">
        <v>169</v>
      </c>
      <c r="I27" s="1"/>
      <c r="J27" s="1">
        <v>681</v>
      </c>
      <c r="K27" s="1">
        <v>60</v>
      </c>
      <c r="L27" s="1" t="s">
        <v>170</v>
      </c>
      <c r="M27" s="1" t="s">
        <v>21</v>
      </c>
      <c r="N27" s="1" t="s">
        <v>21</v>
      </c>
      <c r="O27" s="1">
        <v>34</v>
      </c>
      <c r="P27" s="1"/>
      <c r="Q27" s="1">
        <v>4.45</v>
      </c>
      <c r="R27" s="1">
        <v>450</v>
      </c>
      <c r="S27" s="1"/>
      <c r="U27" s="77"/>
    </row>
    <row r="28" spans="1:21" s="74" customFormat="1" ht="40" customHeight="1" x14ac:dyDescent="0.35">
      <c r="A28" s="71" t="s">
        <v>178</v>
      </c>
      <c r="B28" s="71" t="s">
        <v>178</v>
      </c>
      <c r="C28" s="71" t="s">
        <v>178</v>
      </c>
      <c r="D28" s="71" t="s">
        <v>178</v>
      </c>
      <c r="E28" s="72"/>
      <c r="F28" s="72"/>
      <c r="G28" s="72"/>
      <c r="H28" s="73" t="s">
        <v>265</v>
      </c>
      <c r="I28" s="72"/>
      <c r="J28" s="72"/>
      <c r="K28" s="72"/>
      <c r="L28" s="72"/>
      <c r="M28" s="72"/>
      <c r="N28" s="73" t="s">
        <v>265</v>
      </c>
      <c r="O28" s="75"/>
      <c r="P28" s="72"/>
      <c r="Q28" s="72"/>
      <c r="R28" s="75"/>
      <c r="S28" s="75"/>
      <c r="U28" s="76"/>
    </row>
    <row r="29" spans="1:21" ht="40" customHeight="1" x14ac:dyDescent="0.35">
      <c r="A29" s="104" t="s">
        <v>373</v>
      </c>
      <c r="B29" s="104" t="s">
        <v>180</v>
      </c>
      <c r="C29" s="103">
        <v>0.01</v>
      </c>
      <c r="D29" s="103">
        <v>150</v>
      </c>
      <c r="E29" s="103" t="s">
        <v>119</v>
      </c>
      <c r="F29" s="103">
        <v>8</v>
      </c>
      <c r="G29" s="103">
        <v>230</v>
      </c>
      <c r="H29" s="103" t="s">
        <v>169</v>
      </c>
      <c r="I29" s="103">
        <v>69</v>
      </c>
      <c r="J29" s="103"/>
      <c r="K29" s="103">
        <v>80</v>
      </c>
      <c r="L29" s="103"/>
      <c r="M29" s="103" t="s">
        <v>21</v>
      </c>
      <c r="N29" s="103" t="s">
        <v>21</v>
      </c>
      <c r="O29" s="96">
        <v>17</v>
      </c>
      <c r="P29" s="103"/>
      <c r="Q29" s="38">
        <v>12</v>
      </c>
      <c r="R29" s="96">
        <v>500</v>
      </c>
      <c r="S29" s="96"/>
    </row>
    <row r="30" spans="1:21" ht="40" customHeight="1" x14ac:dyDescent="0.35">
      <c r="A30" s="104" t="s">
        <v>374</v>
      </c>
      <c r="B30" s="104" t="s">
        <v>180</v>
      </c>
      <c r="C30" s="103">
        <v>150.01</v>
      </c>
      <c r="D30" s="103">
        <v>200</v>
      </c>
      <c r="E30" s="103" t="s">
        <v>119</v>
      </c>
      <c r="F30" s="103">
        <v>8</v>
      </c>
      <c r="G30" s="103">
        <v>230</v>
      </c>
      <c r="H30" s="103" t="s">
        <v>169</v>
      </c>
      <c r="I30" s="103">
        <v>69</v>
      </c>
      <c r="J30" s="103"/>
      <c r="K30" s="103">
        <v>80</v>
      </c>
      <c r="L30" s="103"/>
      <c r="M30" s="103" t="s">
        <v>21</v>
      </c>
      <c r="N30" s="103" t="s">
        <v>21</v>
      </c>
      <c r="O30" s="96">
        <v>17</v>
      </c>
      <c r="P30" s="103"/>
      <c r="Q30" s="38">
        <v>13.4</v>
      </c>
      <c r="R30" s="96">
        <v>620</v>
      </c>
      <c r="S30" s="96"/>
    </row>
    <row r="31" spans="1:21" ht="40" customHeight="1" x14ac:dyDescent="0.35">
      <c r="A31" s="104" t="s">
        <v>375</v>
      </c>
      <c r="B31" s="104" t="s">
        <v>180</v>
      </c>
      <c r="C31" s="103">
        <v>200.01</v>
      </c>
      <c r="D31" s="103">
        <v>250</v>
      </c>
      <c r="E31" s="103" t="s">
        <v>119</v>
      </c>
      <c r="F31" s="103">
        <v>8</v>
      </c>
      <c r="G31" s="103">
        <v>230</v>
      </c>
      <c r="H31" s="103" t="s">
        <v>169</v>
      </c>
      <c r="I31" s="103">
        <v>69</v>
      </c>
      <c r="J31" s="103"/>
      <c r="K31" s="103">
        <v>80</v>
      </c>
      <c r="L31" s="103"/>
      <c r="M31" s="103" t="s">
        <v>21</v>
      </c>
      <c r="N31" s="103" t="s">
        <v>21</v>
      </c>
      <c r="O31" s="96">
        <v>21</v>
      </c>
      <c r="P31" s="103"/>
      <c r="Q31" s="38">
        <v>14</v>
      </c>
      <c r="R31" s="96">
        <v>680</v>
      </c>
      <c r="S31" s="96"/>
    </row>
    <row r="32" spans="1:21" ht="40" customHeight="1" x14ac:dyDescent="0.35">
      <c r="A32" s="104" t="s">
        <v>376</v>
      </c>
      <c r="B32" s="104" t="s">
        <v>180</v>
      </c>
      <c r="C32" s="103">
        <v>250.01</v>
      </c>
      <c r="D32" s="103">
        <v>300</v>
      </c>
      <c r="E32" s="103" t="s">
        <v>119</v>
      </c>
      <c r="F32" s="103">
        <v>8</v>
      </c>
      <c r="G32" s="103">
        <v>230</v>
      </c>
      <c r="H32" s="103" t="s">
        <v>169</v>
      </c>
      <c r="I32" s="103">
        <v>68</v>
      </c>
      <c r="J32" s="103"/>
      <c r="K32" s="103">
        <v>89</v>
      </c>
      <c r="L32" s="103"/>
      <c r="M32" s="103" t="s">
        <v>21</v>
      </c>
      <c r="N32" s="103" t="s">
        <v>21</v>
      </c>
      <c r="O32" s="96">
        <v>17</v>
      </c>
      <c r="P32" s="103"/>
      <c r="Q32" s="38">
        <v>13.3</v>
      </c>
      <c r="R32" s="96">
        <v>855</v>
      </c>
      <c r="S32" s="96"/>
    </row>
    <row r="33" spans="1:19" ht="40" customHeight="1" x14ac:dyDescent="0.35">
      <c r="A33" s="104" t="s">
        <v>377</v>
      </c>
      <c r="B33" s="104" t="s">
        <v>180</v>
      </c>
      <c r="C33" s="103">
        <v>300.01</v>
      </c>
      <c r="D33" s="103">
        <v>350</v>
      </c>
      <c r="E33" s="103" t="s">
        <v>119</v>
      </c>
      <c r="F33" s="103">
        <v>8</v>
      </c>
      <c r="G33" s="103">
        <v>230</v>
      </c>
      <c r="H33" s="103" t="s">
        <v>169</v>
      </c>
      <c r="I33" s="103">
        <v>85</v>
      </c>
      <c r="J33" s="103"/>
      <c r="K33" s="103">
        <v>89</v>
      </c>
      <c r="L33" s="103"/>
      <c r="M33" s="103" t="s">
        <v>21</v>
      </c>
      <c r="N33" s="103" t="s">
        <v>21</v>
      </c>
      <c r="O33" s="96">
        <v>15</v>
      </c>
      <c r="P33" s="103"/>
      <c r="Q33" s="38">
        <v>19.600000000000001</v>
      </c>
      <c r="R33" s="96">
        <v>990</v>
      </c>
      <c r="S33" s="96"/>
    </row>
    <row r="34" spans="1:19" ht="40" customHeight="1" x14ac:dyDescent="0.35"/>
    <row r="35" spans="1:19" ht="40" customHeight="1" x14ac:dyDescent="0.35"/>
    <row r="36" spans="1:19" ht="40" customHeight="1" x14ac:dyDescent="0.35"/>
    <row r="37" spans="1:19" ht="40" customHeight="1" x14ac:dyDescent="0.35"/>
  </sheetData>
  <autoFilter ref="A1:S2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3" customWidth="1"/>
    <col min="5" max="6" width="11.54296875" style="3" customWidth="1"/>
    <col min="7" max="7" width="9.81640625" style="3" customWidth="1"/>
    <col min="8" max="8" width="8.7265625" style="3"/>
    <col min="9" max="9" width="11.54296875" style="3" customWidth="1"/>
    <col min="10" max="10" width="13.453125" style="3" bestFit="1" customWidth="1"/>
    <col min="11" max="11" width="11.1796875" style="3" customWidth="1"/>
    <col min="12" max="12" width="15.1796875" style="3" customWidth="1"/>
    <col min="13" max="13" width="8.7265625" style="3"/>
    <col min="14" max="14" width="12.26953125" customWidth="1"/>
    <col min="15" max="15" width="13.26953125" bestFit="1" customWidth="1"/>
    <col min="16" max="16" width="12.26953125" style="3" customWidth="1"/>
    <col min="17" max="17" width="18.26953125" style="3" bestFit="1" customWidth="1"/>
    <col min="18" max="18" width="18.26953125" style="3" customWidth="1"/>
    <col min="19" max="19" width="16.54296875" style="3" customWidth="1"/>
    <col min="20" max="20" width="5.1796875" customWidth="1"/>
    <col min="21" max="21" width="51.54296875" bestFit="1" customWidth="1"/>
    <col min="22" max="22" width="32.54296875" customWidth="1"/>
    <col min="23" max="23" width="9.453125" customWidth="1"/>
  </cols>
  <sheetData>
    <row r="1" spans="1:21" s="8" customFormat="1" ht="30" customHeight="1" x14ac:dyDescent="0.35">
      <c r="A1" s="8" t="s">
        <v>199</v>
      </c>
      <c r="B1" s="6" t="s">
        <v>98</v>
      </c>
      <c r="C1" s="35" t="s">
        <v>200</v>
      </c>
      <c r="D1" s="35" t="s">
        <v>201</v>
      </c>
      <c r="E1" s="35" t="s">
        <v>202</v>
      </c>
      <c r="F1" s="35" t="s">
        <v>203</v>
      </c>
      <c r="G1" s="35" t="s">
        <v>204</v>
      </c>
      <c r="H1" s="35" t="s">
        <v>205</v>
      </c>
      <c r="I1" s="35" t="s">
        <v>206</v>
      </c>
      <c r="J1" s="35" t="s">
        <v>207</v>
      </c>
      <c r="K1" s="35" t="s">
        <v>152</v>
      </c>
      <c r="L1" s="35" t="s">
        <v>208</v>
      </c>
      <c r="M1" s="35" t="s">
        <v>153</v>
      </c>
      <c r="N1" s="8" t="s">
        <v>209</v>
      </c>
      <c r="O1" s="8" t="s">
        <v>272</v>
      </c>
      <c r="P1" s="35" t="s">
        <v>210</v>
      </c>
      <c r="Q1" s="35" t="s">
        <v>211</v>
      </c>
      <c r="R1" s="7" t="s">
        <v>158</v>
      </c>
      <c r="S1" s="69" t="s">
        <v>212</v>
      </c>
      <c r="U1" s="8" t="s">
        <v>167</v>
      </c>
    </row>
    <row r="2" spans="1:21" x14ac:dyDescent="0.35">
      <c r="N2" s="3"/>
    </row>
    <row r="3" spans="1:21" x14ac:dyDescent="0.35">
      <c r="N3" s="3"/>
    </row>
    <row r="4" spans="1:21" x14ac:dyDescent="0.35">
      <c r="A4" s="39" t="s">
        <v>213</v>
      </c>
      <c r="B4" s="39" t="s">
        <v>198</v>
      </c>
      <c r="C4" s="51">
        <v>19</v>
      </c>
      <c r="D4" s="51">
        <v>25.4</v>
      </c>
      <c r="E4" s="51">
        <v>57</v>
      </c>
      <c r="F4" s="51">
        <v>30</v>
      </c>
      <c r="G4" s="55">
        <f>E4/C4</f>
        <v>3</v>
      </c>
      <c r="H4" s="51" t="s">
        <v>214</v>
      </c>
      <c r="I4" s="51">
        <v>70</v>
      </c>
      <c r="J4" s="53">
        <f>I4*G4</f>
        <v>210</v>
      </c>
      <c r="K4" s="51">
        <v>32</v>
      </c>
      <c r="L4" s="55">
        <f>K4/G4</f>
        <v>10.666666666666666</v>
      </c>
      <c r="M4" s="51">
        <v>230</v>
      </c>
      <c r="N4" s="51">
        <v>40</v>
      </c>
      <c r="O4" s="51">
        <f>N4/G4</f>
        <v>13.333333333333334</v>
      </c>
      <c r="P4" s="3">
        <v>77.16</v>
      </c>
      <c r="Q4" s="3">
        <v>230</v>
      </c>
      <c r="R4" s="1">
        <v>25.4</v>
      </c>
      <c r="S4" s="3">
        <v>18000</v>
      </c>
    </row>
    <row r="5" spans="1:21" x14ac:dyDescent="0.35">
      <c r="A5" s="39" t="s">
        <v>215</v>
      </c>
      <c r="B5" s="39" t="s">
        <v>198</v>
      </c>
      <c r="C5" s="51">
        <v>15</v>
      </c>
      <c r="D5" s="51">
        <v>25.4</v>
      </c>
      <c r="E5" s="51">
        <v>57</v>
      </c>
      <c r="F5" s="51">
        <v>30</v>
      </c>
      <c r="G5" s="55">
        <f>E5/C5</f>
        <v>3.8</v>
      </c>
      <c r="H5" s="51" t="s">
        <v>214</v>
      </c>
      <c r="I5" s="51">
        <v>70</v>
      </c>
      <c r="J5" s="53">
        <f>I5*G5</f>
        <v>266</v>
      </c>
      <c r="K5" s="51">
        <v>32</v>
      </c>
      <c r="L5" s="55">
        <f>K5/G5</f>
        <v>8.4210526315789469</v>
      </c>
      <c r="M5" s="51">
        <v>230</v>
      </c>
      <c r="N5" s="51">
        <v>40</v>
      </c>
      <c r="O5" s="51">
        <f>N5/G5</f>
        <v>10.526315789473685</v>
      </c>
      <c r="P5" s="3">
        <v>61.09</v>
      </c>
      <c r="Q5" s="3">
        <v>230</v>
      </c>
      <c r="R5" s="1"/>
      <c r="S5" s="3">
        <v>18000</v>
      </c>
    </row>
    <row r="6" spans="1:21" x14ac:dyDescent="0.35">
      <c r="A6" s="44"/>
      <c r="B6" s="44"/>
      <c r="C6" s="43"/>
      <c r="D6" s="43"/>
      <c r="E6" s="43"/>
      <c r="F6" s="43"/>
      <c r="G6" s="56"/>
      <c r="H6" s="43"/>
      <c r="I6" s="43"/>
      <c r="J6" s="43"/>
      <c r="K6" s="43"/>
      <c r="L6" s="56"/>
      <c r="M6" s="43"/>
      <c r="N6" s="43"/>
      <c r="O6" s="43"/>
      <c r="P6" s="43" t="s">
        <v>178</v>
      </c>
      <c r="Q6" s="43"/>
      <c r="R6" s="43"/>
      <c r="S6" s="43"/>
    </row>
    <row r="7" spans="1:21" x14ac:dyDescent="0.35">
      <c r="A7" s="39" t="s">
        <v>216</v>
      </c>
      <c r="B7" s="39" t="s">
        <v>198</v>
      </c>
      <c r="C7" s="51">
        <v>19</v>
      </c>
      <c r="D7" s="51">
        <v>25.4</v>
      </c>
      <c r="E7" s="51">
        <v>57</v>
      </c>
      <c r="F7" s="51">
        <v>30</v>
      </c>
      <c r="G7" s="55">
        <f>E7/C7</f>
        <v>3</v>
      </c>
      <c r="H7" s="51" t="s">
        <v>214</v>
      </c>
      <c r="I7" s="51">
        <v>90</v>
      </c>
      <c r="J7" s="53">
        <f>I7*G7</f>
        <v>270</v>
      </c>
      <c r="K7" s="51">
        <v>24</v>
      </c>
      <c r="L7" s="55">
        <f>K7/G7</f>
        <v>8</v>
      </c>
      <c r="M7" s="51">
        <v>230</v>
      </c>
      <c r="N7" s="51">
        <v>40</v>
      </c>
      <c r="O7" s="51">
        <f t="shared" ref="O7:O17" si="0">N7/G7</f>
        <v>13.333333333333334</v>
      </c>
      <c r="P7" s="3">
        <v>77.16</v>
      </c>
      <c r="Q7" s="3">
        <v>230</v>
      </c>
      <c r="R7" s="1">
        <v>25.4</v>
      </c>
      <c r="S7" s="3">
        <v>18000</v>
      </c>
    </row>
    <row r="8" spans="1:21" x14ac:dyDescent="0.35">
      <c r="A8" s="39" t="s">
        <v>217</v>
      </c>
      <c r="B8" s="39" t="s">
        <v>198</v>
      </c>
      <c r="C8" s="51">
        <v>15</v>
      </c>
      <c r="D8" s="51">
        <v>25.4</v>
      </c>
      <c r="E8" s="51">
        <v>57</v>
      </c>
      <c r="F8" s="51">
        <v>30</v>
      </c>
      <c r="G8" s="55">
        <f t="shared" ref="G8" si="1">E8/C8</f>
        <v>3.8</v>
      </c>
      <c r="H8" s="51" t="s">
        <v>214</v>
      </c>
      <c r="I8" s="51">
        <v>90</v>
      </c>
      <c r="J8" s="53">
        <f t="shared" ref="J8" si="2">I8*G8</f>
        <v>342</v>
      </c>
      <c r="K8" s="51">
        <v>24</v>
      </c>
      <c r="L8" s="55">
        <f t="shared" ref="L8" si="3">K8/G8</f>
        <v>6.3157894736842106</v>
      </c>
      <c r="M8" s="51">
        <v>230</v>
      </c>
      <c r="N8" s="51">
        <v>40</v>
      </c>
      <c r="O8" s="51">
        <f t="shared" si="0"/>
        <v>10.526315789473685</v>
      </c>
      <c r="P8" s="3">
        <v>61.09</v>
      </c>
      <c r="Q8" s="3">
        <v>230</v>
      </c>
      <c r="R8" s="1">
        <v>25.4</v>
      </c>
      <c r="S8" s="3">
        <v>18000</v>
      </c>
    </row>
    <row r="9" spans="1:21" x14ac:dyDescent="0.35">
      <c r="A9" s="44"/>
      <c r="B9" s="44"/>
      <c r="C9" s="43"/>
      <c r="D9" s="43"/>
      <c r="E9" s="43"/>
      <c r="F9" s="43"/>
      <c r="G9" s="56"/>
      <c r="H9" s="43"/>
      <c r="I9" s="43"/>
      <c r="J9" s="43"/>
      <c r="K9" s="43"/>
      <c r="L9" s="56"/>
      <c r="M9" s="43"/>
      <c r="N9" s="43"/>
      <c r="O9" s="43"/>
      <c r="P9" s="43" t="s">
        <v>178</v>
      </c>
      <c r="Q9" s="43"/>
      <c r="R9" s="43"/>
      <c r="S9" s="43"/>
    </row>
    <row r="10" spans="1:21" x14ac:dyDescent="0.35">
      <c r="A10" s="39" t="s">
        <v>218</v>
      </c>
      <c r="B10" s="39" t="s">
        <v>198</v>
      </c>
      <c r="C10" s="51">
        <v>19</v>
      </c>
      <c r="D10" s="51">
        <v>25.4</v>
      </c>
      <c r="E10" s="51">
        <v>57</v>
      </c>
      <c r="F10" s="51">
        <v>30</v>
      </c>
      <c r="G10" s="55">
        <f>E10/C10</f>
        <v>3</v>
      </c>
      <c r="H10" s="51" t="s">
        <v>214</v>
      </c>
      <c r="I10" s="51">
        <v>90</v>
      </c>
      <c r="J10" s="53">
        <f>I10*G10</f>
        <v>270</v>
      </c>
      <c r="K10" s="51">
        <v>32</v>
      </c>
      <c r="L10" s="55">
        <f>K10/G10</f>
        <v>10.666666666666666</v>
      </c>
      <c r="M10" s="51">
        <v>415</v>
      </c>
      <c r="N10" s="51">
        <v>40</v>
      </c>
      <c r="O10" s="51">
        <f t="shared" si="0"/>
        <v>13.333333333333334</v>
      </c>
      <c r="P10" s="3">
        <v>77.16</v>
      </c>
      <c r="Q10" s="3">
        <v>230</v>
      </c>
      <c r="R10" s="1">
        <v>25.4</v>
      </c>
      <c r="S10" s="3">
        <v>18000</v>
      </c>
    </row>
    <row r="11" spans="1:21" x14ac:dyDescent="0.35">
      <c r="A11" s="39" t="s">
        <v>219</v>
      </c>
      <c r="B11" s="39" t="s">
        <v>198</v>
      </c>
      <c r="C11" s="51">
        <v>15</v>
      </c>
      <c r="D11" s="51">
        <v>25.4</v>
      </c>
      <c r="E11" s="51">
        <v>57</v>
      </c>
      <c r="F11" s="51">
        <v>30</v>
      </c>
      <c r="G11" s="55">
        <f t="shared" ref="G11" si="4">E11/C11</f>
        <v>3.8</v>
      </c>
      <c r="H11" s="51" t="s">
        <v>214</v>
      </c>
      <c r="I11" s="51">
        <v>90</v>
      </c>
      <c r="J11" s="53">
        <f t="shared" ref="J11" si="5">I11*G11</f>
        <v>342</v>
      </c>
      <c r="K11" s="51">
        <v>32</v>
      </c>
      <c r="L11" s="55">
        <f t="shared" ref="L11" si="6">K11/G11</f>
        <v>8.4210526315789469</v>
      </c>
      <c r="M11" s="51">
        <v>415</v>
      </c>
      <c r="N11" s="51">
        <v>40</v>
      </c>
      <c r="O11" s="51">
        <f t="shared" si="0"/>
        <v>10.526315789473685</v>
      </c>
      <c r="P11" s="3">
        <v>61.09</v>
      </c>
      <c r="Q11" s="3">
        <v>230</v>
      </c>
      <c r="R11" s="1">
        <v>25.4</v>
      </c>
      <c r="S11" s="3">
        <v>18000</v>
      </c>
    </row>
    <row r="12" spans="1:21" x14ac:dyDescent="0.35">
      <c r="A12" s="44"/>
      <c r="B12" s="44"/>
      <c r="C12" s="43"/>
      <c r="D12" s="43"/>
      <c r="E12" s="43"/>
      <c r="F12" s="43"/>
      <c r="G12" s="56"/>
      <c r="H12" s="43"/>
      <c r="I12" s="43"/>
      <c r="J12" s="43"/>
      <c r="K12" s="43"/>
      <c r="L12" s="56"/>
      <c r="M12" s="43"/>
      <c r="N12" s="43"/>
      <c r="O12" s="43"/>
      <c r="P12" s="43" t="s">
        <v>178</v>
      </c>
      <c r="Q12" s="43"/>
      <c r="R12" s="43"/>
      <c r="S12" s="43"/>
    </row>
    <row r="13" spans="1:21" x14ac:dyDescent="0.35">
      <c r="A13" s="39" t="s">
        <v>303</v>
      </c>
      <c r="B13" s="39" t="s">
        <v>198</v>
      </c>
      <c r="C13" s="51">
        <v>18</v>
      </c>
      <c r="D13" s="51">
        <v>25.4</v>
      </c>
      <c r="E13" s="51">
        <v>57</v>
      </c>
      <c r="F13" s="51">
        <v>30</v>
      </c>
      <c r="G13" s="55">
        <f t="shared" ref="G13" si="7">E13/C13</f>
        <v>3.1666666666666665</v>
      </c>
      <c r="H13" s="51" t="s">
        <v>220</v>
      </c>
      <c r="I13" s="51">
        <v>149</v>
      </c>
      <c r="J13" s="53">
        <f>I13*G13</f>
        <v>471.83333333333331</v>
      </c>
      <c r="K13" s="51">
        <v>47</v>
      </c>
      <c r="L13" s="55">
        <f t="shared" ref="L13" si="8">K13/G13</f>
        <v>14.842105263157896</v>
      </c>
      <c r="M13" s="51">
        <v>415</v>
      </c>
      <c r="N13" s="51">
        <v>40</v>
      </c>
      <c r="O13" s="51">
        <f t="shared" ref="O13" si="9">N13/G13</f>
        <v>12.631578947368421</v>
      </c>
      <c r="P13" s="3">
        <v>91.42</v>
      </c>
      <c r="Q13" s="3">
        <v>288</v>
      </c>
      <c r="R13" s="1">
        <v>25.4</v>
      </c>
      <c r="S13" s="3">
        <v>22400</v>
      </c>
    </row>
    <row r="14" spans="1:21" x14ac:dyDescent="0.35">
      <c r="A14" s="39" t="s">
        <v>273</v>
      </c>
      <c r="B14" s="39" t="s">
        <v>198</v>
      </c>
      <c r="C14" s="51">
        <v>15</v>
      </c>
      <c r="D14" s="51">
        <v>25.4</v>
      </c>
      <c r="E14" s="51">
        <v>57</v>
      </c>
      <c r="F14" s="51">
        <v>30</v>
      </c>
      <c r="G14" s="55">
        <f t="shared" ref="G14:G15" si="10">E14/C14</f>
        <v>3.8</v>
      </c>
      <c r="H14" s="51" t="s">
        <v>220</v>
      </c>
      <c r="I14" s="51">
        <v>150</v>
      </c>
      <c r="J14" s="53">
        <f>I14*G14</f>
        <v>570</v>
      </c>
      <c r="K14" s="51">
        <v>48</v>
      </c>
      <c r="L14" s="55">
        <f t="shared" ref="L14" si="11">K14/G14</f>
        <v>12.631578947368421</v>
      </c>
      <c r="M14" s="51">
        <v>415</v>
      </c>
      <c r="N14" s="51">
        <v>40</v>
      </c>
      <c r="O14" s="51">
        <f t="shared" si="0"/>
        <v>10.526315789473685</v>
      </c>
      <c r="P14" s="3">
        <v>91.42</v>
      </c>
      <c r="Q14" s="3">
        <v>288</v>
      </c>
      <c r="R14" s="1">
        <v>25.4</v>
      </c>
      <c r="S14" s="3">
        <v>22400</v>
      </c>
    </row>
    <row r="15" spans="1:21" x14ac:dyDescent="0.35">
      <c r="A15" s="79" t="s">
        <v>221</v>
      </c>
      <c r="B15" s="79" t="s">
        <v>198</v>
      </c>
      <c r="C15" s="80">
        <v>12</v>
      </c>
      <c r="D15" s="80">
        <v>25.4</v>
      </c>
      <c r="E15" s="80">
        <v>57</v>
      </c>
      <c r="F15" s="80">
        <v>40</v>
      </c>
      <c r="G15" s="81">
        <f t="shared" si="10"/>
        <v>4.75</v>
      </c>
      <c r="H15" s="80" t="s">
        <v>220</v>
      </c>
      <c r="I15" s="80">
        <v>150</v>
      </c>
      <c r="J15" s="82">
        <f>I15*G15</f>
        <v>712.5</v>
      </c>
      <c r="K15" s="80">
        <v>48</v>
      </c>
      <c r="L15" s="81">
        <f>K15/G15</f>
        <v>10.105263157894736</v>
      </c>
      <c r="M15" s="80">
        <v>415</v>
      </c>
      <c r="N15" s="80">
        <v>40</v>
      </c>
      <c r="O15" s="80">
        <f t="shared" si="0"/>
        <v>8.4210526315789469</v>
      </c>
      <c r="P15" s="3">
        <v>73.599999999999994</v>
      </c>
      <c r="Q15" s="3">
        <v>288</v>
      </c>
      <c r="R15" s="1">
        <v>25.4</v>
      </c>
      <c r="S15" s="3">
        <v>22400</v>
      </c>
    </row>
    <row r="16" spans="1:21" x14ac:dyDescent="0.35">
      <c r="A16" s="44"/>
      <c r="B16" s="44"/>
      <c r="C16" s="43"/>
      <c r="D16" s="43"/>
      <c r="E16" s="43"/>
      <c r="F16" s="43"/>
      <c r="G16" s="56"/>
      <c r="H16" s="43"/>
      <c r="I16" s="43"/>
      <c r="J16" s="43"/>
      <c r="K16" s="43"/>
      <c r="L16" s="56"/>
      <c r="M16" s="43"/>
      <c r="N16" s="43"/>
      <c r="O16" s="43"/>
      <c r="P16" s="43" t="s">
        <v>178</v>
      </c>
      <c r="Q16" s="43"/>
      <c r="R16" s="43"/>
      <c r="S16" s="43"/>
    </row>
    <row r="17" spans="1:19" x14ac:dyDescent="0.35">
      <c r="A17" s="39" t="s">
        <v>299</v>
      </c>
      <c r="B17" s="39" t="s">
        <v>198</v>
      </c>
      <c r="C17" s="51">
        <v>15</v>
      </c>
      <c r="D17" s="51">
        <v>30</v>
      </c>
      <c r="E17" s="51">
        <v>57</v>
      </c>
      <c r="F17" s="51">
        <v>30</v>
      </c>
      <c r="G17" s="55">
        <f>E17/C17</f>
        <v>3.8</v>
      </c>
      <c r="H17" s="51" t="s">
        <v>222</v>
      </c>
      <c r="I17" s="51">
        <v>220</v>
      </c>
      <c r="J17" s="53">
        <f>I17*G17</f>
        <v>836</v>
      </c>
      <c r="K17" s="51">
        <v>24</v>
      </c>
      <c r="L17" s="55">
        <f>K17/G17</f>
        <v>6.3157894736842106</v>
      </c>
      <c r="M17" s="51">
        <v>415</v>
      </c>
      <c r="N17" s="51">
        <v>40</v>
      </c>
      <c r="O17" s="51">
        <f t="shared" si="0"/>
        <v>10.526315789473685</v>
      </c>
      <c r="P17" s="3">
        <v>115.75</v>
      </c>
      <c r="Q17" s="3">
        <v>345.81</v>
      </c>
      <c r="R17" s="1">
        <v>25.4</v>
      </c>
      <c r="S17" s="3">
        <v>22400</v>
      </c>
    </row>
    <row r="18" spans="1:19" x14ac:dyDescent="0.35">
      <c r="G18" s="54"/>
      <c r="J18" s="52"/>
      <c r="L18" s="54"/>
      <c r="N18" s="3"/>
      <c r="O18" s="3"/>
      <c r="P18" s="3" t="s">
        <v>178</v>
      </c>
    </row>
    <row r="19" spans="1:19" x14ac:dyDescent="0.35">
      <c r="A19" s="44"/>
      <c r="B19" s="44"/>
      <c r="C19" s="43"/>
      <c r="D19" s="43"/>
      <c r="E19" s="43"/>
      <c r="F19" s="43"/>
      <c r="G19" s="43"/>
      <c r="H19" s="43"/>
      <c r="I19" s="43"/>
      <c r="J19" s="43"/>
      <c r="K19" s="43"/>
      <c r="L19" s="43"/>
      <c r="M19" s="43"/>
      <c r="N19" s="44"/>
      <c r="O19" s="44"/>
      <c r="P19" s="43"/>
      <c r="Q19" s="43"/>
      <c r="R19" s="43"/>
      <c r="S19" s="43"/>
    </row>
    <row r="20" spans="1:19" x14ac:dyDescent="0.35">
      <c r="A20" s="39" t="s">
        <v>281</v>
      </c>
      <c r="B20" s="39" t="s">
        <v>198</v>
      </c>
      <c r="C20" s="51">
        <v>15</v>
      </c>
      <c r="D20" s="51">
        <v>25.4</v>
      </c>
      <c r="E20" s="51">
        <v>57</v>
      </c>
      <c r="F20" s="51">
        <v>30</v>
      </c>
      <c r="G20" s="55">
        <f t="shared" ref="G20" si="12">E20/C20</f>
        <v>3.8</v>
      </c>
      <c r="H20" s="51" t="s">
        <v>214</v>
      </c>
      <c r="I20" s="51">
        <v>90</v>
      </c>
      <c r="J20" s="53">
        <f t="shared" ref="J20" si="13">I20*G20</f>
        <v>342</v>
      </c>
      <c r="K20" s="51">
        <v>80</v>
      </c>
      <c r="L20" s="55">
        <f t="shared" ref="L20" si="14">K20/G20</f>
        <v>21.05263157894737</v>
      </c>
      <c r="M20" s="51">
        <v>230</v>
      </c>
      <c r="N20" s="51">
        <v>20</v>
      </c>
      <c r="O20" s="51">
        <f t="shared" ref="O20" si="15">N20/G20</f>
        <v>5.2631578947368425</v>
      </c>
      <c r="P20" s="3">
        <v>61.09</v>
      </c>
      <c r="Q20" s="3">
        <v>230</v>
      </c>
      <c r="R20" s="1">
        <v>25.4</v>
      </c>
      <c r="S20" s="3">
        <v>18000</v>
      </c>
    </row>
    <row r="21" spans="1:19" x14ac:dyDescent="0.35">
      <c r="A21" s="39" t="s">
        <v>327</v>
      </c>
      <c r="B21" s="39" t="s">
        <v>198</v>
      </c>
      <c r="C21" s="51">
        <v>15</v>
      </c>
      <c r="D21" s="51">
        <v>25.4</v>
      </c>
      <c r="E21" s="51">
        <v>57</v>
      </c>
      <c r="F21" s="51">
        <v>30</v>
      </c>
      <c r="G21" s="55">
        <f t="shared" ref="G21" si="16">E21/C21</f>
        <v>3.8</v>
      </c>
      <c r="H21" s="51" t="s">
        <v>214</v>
      </c>
      <c r="I21" s="51">
        <v>90</v>
      </c>
      <c r="J21" s="53">
        <f t="shared" ref="J21" si="17">I21*G21</f>
        <v>342</v>
      </c>
      <c r="K21" s="51">
        <v>80</v>
      </c>
      <c r="L21" s="55">
        <f t="shared" ref="L21" si="18">K21/G21</f>
        <v>21.05263157894737</v>
      </c>
      <c r="M21" s="51">
        <v>415</v>
      </c>
      <c r="N21" s="51">
        <v>20</v>
      </c>
      <c r="O21" s="51">
        <f t="shared" ref="O21" si="19">N21/G21</f>
        <v>5.2631578947368425</v>
      </c>
      <c r="P21" s="3">
        <v>61.09</v>
      </c>
      <c r="Q21" s="3">
        <v>230</v>
      </c>
      <c r="R21" s="1">
        <v>25.4</v>
      </c>
      <c r="S21" s="3">
        <v>18000</v>
      </c>
    </row>
    <row r="22" spans="1:19" x14ac:dyDescent="0.35">
      <c r="A22" s="39" t="s">
        <v>325</v>
      </c>
      <c r="B22" s="39" t="s">
        <v>198</v>
      </c>
      <c r="C22" s="51">
        <v>18</v>
      </c>
      <c r="D22" s="51">
        <v>25.4</v>
      </c>
      <c r="E22" s="51">
        <v>57</v>
      </c>
      <c r="F22" s="51">
        <v>30</v>
      </c>
      <c r="G22" s="55">
        <f t="shared" ref="G22:G24" si="20">E22/C22</f>
        <v>3.1666666666666665</v>
      </c>
      <c r="H22" s="51" t="s">
        <v>220</v>
      </c>
      <c r="I22" s="51">
        <v>150</v>
      </c>
      <c r="J22" s="53">
        <f>I22*G22</f>
        <v>475</v>
      </c>
      <c r="K22" s="51">
        <v>80</v>
      </c>
      <c r="L22" s="55">
        <f t="shared" ref="L22" si="21">K22/G22</f>
        <v>25.263157894736842</v>
      </c>
      <c r="M22" s="51">
        <v>230</v>
      </c>
      <c r="N22" s="51">
        <v>20</v>
      </c>
      <c r="O22" s="51">
        <f t="shared" ref="O22:O24" si="22">N22/G22</f>
        <v>6.3157894736842106</v>
      </c>
      <c r="P22" s="3">
        <v>91.42</v>
      </c>
      <c r="Q22" s="3">
        <v>288</v>
      </c>
      <c r="R22" s="1">
        <v>25.4</v>
      </c>
      <c r="S22" s="3">
        <v>22400</v>
      </c>
    </row>
    <row r="23" spans="1:19" x14ac:dyDescent="0.35">
      <c r="A23" s="39" t="s">
        <v>304</v>
      </c>
      <c r="B23" s="39" t="s">
        <v>198</v>
      </c>
      <c r="C23" s="51">
        <v>18</v>
      </c>
      <c r="D23" s="51">
        <v>25.4</v>
      </c>
      <c r="E23" s="51">
        <v>57</v>
      </c>
      <c r="F23" s="51">
        <v>30</v>
      </c>
      <c r="G23" s="55">
        <f>E23/C23</f>
        <v>3.1666666666666665</v>
      </c>
      <c r="H23" s="51" t="s">
        <v>220</v>
      </c>
      <c r="I23" s="51">
        <v>150</v>
      </c>
      <c r="J23" s="53">
        <f>I23*G23</f>
        <v>475</v>
      </c>
      <c r="K23" s="51">
        <v>80</v>
      </c>
      <c r="L23" s="55">
        <f t="shared" ref="L23" si="23">K23/G23</f>
        <v>25.263157894736842</v>
      </c>
      <c r="M23" s="51">
        <v>415</v>
      </c>
      <c r="N23" s="51">
        <v>20</v>
      </c>
      <c r="O23" s="51">
        <f>N23/G23</f>
        <v>6.3157894736842106</v>
      </c>
      <c r="P23" s="3">
        <v>91.42</v>
      </c>
      <c r="Q23" s="3">
        <v>288</v>
      </c>
      <c r="R23" s="1">
        <v>25.4</v>
      </c>
      <c r="S23" s="3">
        <v>22400</v>
      </c>
    </row>
    <row r="24" spans="1:19" x14ac:dyDescent="0.35">
      <c r="A24" s="39" t="s">
        <v>326</v>
      </c>
      <c r="B24" s="39" t="s">
        <v>198</v>
      </c>
      <c r="C24" s="51">
        <v>12</v>
      </c>
      <c r="D24" s="51">
        <v>25.4</v>
      </c>
      <c r="E24" s="51">
        <v>57</v>
      </c>
      <c r="F24" s="51">
        <v>40</v>
      </c>
      <c r="G24" s="55">
        <f t="shared" si="20"/>
        <v>4.75</v>
      </c>
      <c r="H24" s="51" t="s">
        <v>220</v>
      </c>
      <c r="I24" s="51">
        <v>150</v>
      </c>
      <c r="J24" s="53">
        <f>I24*G24</f>
        <v>712.5</v>
      </c>
      <c r="K24" s="51">
        <v>80</v>
      </c>
      <c r="L24" s="55">
        <f>K24/G24</f>
        <v>16.842105263157894</v>
      </c>
      <c r="M24" s="51">
        <v>230</v>
      </c>
      <c r="N24" s="51">
        <v>20</v>
      </c>
      <c r="O24" s="51">
        <f t="shared" si="22"/>
        <v>4.2105263157894735</v>
      </c>
      <c r="P24" s="3">
        <v>73.599999999999994</v>
      </c>
      <c r="Q24" s="3">
        <v>288</v>
      </c>
      <c r="R24" s="1">
        <v>25.4</v>
      </c>
      <c r="S24" s="3">
        <v>22400</v>
      </c>
    </row>
    <row r="25" spans="1:19" x14ac:dyDescent="0.35">
      <c r="A25" s="39" t="s">
        <v>282</v>
      </c>
      <c r="B25" s="39" t="s">
        <v>198</v>
      </c>
      <c r="C25" s="51">
        <v>12</v>
      </c>
      <c r="D25" s="51">
        <v>25.4</v>
      </c>
      <c r="E25" s="51">
        <v>57</v>
      </c>
      <c r="F25" s="51">
        <v>40</v>
      </c>
      <c r="G25" s="55">
        <f t="shared" ref="G25" si="24">E25/C25</f>
        <v>4.75</v>
      </c>
      <c r="H25" s="51" t="s">
        <v>220</v>
      </c>
      <c r="I25" s="51">
        <v>150</v>
      </c>
      <c r="J25" s="53">
        <f>I25*G25</f>
        <v>712.5</v>
      </c>
      <c r="K25" s="51">
        <v>80</v>
      </c>
      <c r="L25" s="55">
        <f>K25/G25</f>
        <v>16.842105263157894</v>
      </c>
      <c r="M25" s="51">
        <v>415</v>
      </c>
      <c r="N25" s="51">
        <v>20</v>
      </c>
      <c r="O25" s="51">
        <f t="shared" ref="O25" si="25">N25/G25</f>
        <v>4.2105263157894735</v>
      </c>
      <c r="P25" s="3">
        <v>73.599999999999994</v>
      </c>
      <c r="Q25" s="3">
        <v>288</v>
      </c>
      <c r="R25" s="1">
        <v>25.4</v>
      </c>
      <c r="S25" s="3">
        <v>22400</v>
      </c>
    </row>
    <row r="26" spans="1:19" x14ac:dyDescent="0.35">
      <c r="C26"/>
      <c r="D26"/>
      <c r="E26"/>
      <c r="F26"/>
      <c r="G26"/>
      <c r="H26"/>
      <c r="I26"/>
      <c r="J26"/>
      <c r="K26"/>
      <c r="L26"/>
      <c r="M26"/>
      <c r="P26"/>
      <c r="Q26"/>
      <c r="R26"/>
      <c r="S26"/>
    </row>
    <row r="28" spans="1:19" x14ac:dyDescent="0.35">
      <c r="A28" s="61" t="s">
        <v>305</v>
      </c>
      <c r="B28" t="s">
        <v>198</v>
      </c>
      <c r="C28" s="3">
        <v>15</v>
      </c>
      <c r="D28" s="3">
        <v>40</v>
      </c>
      <c r="E28" s="3">
        <v>57</v>
      </c>
      <c r="F28" s="3">
        <v>40</v>
      </c>
      <c r="G28" s="54">
        <f t="shared" ref="G28" si="26">E28/C28</f>
        <v>3.8</v>
      </c>
      <c r="H28" s="3" t="s">
        <v>222</v>
      </c>
      <c r="I28" s="3">
        <v>400</v>
      </c>
      <c r="J28" s="52">
        <f t="shared" ref="J28" si="27">I28*G28</f>
        <v>1520</v>
      </c>
      <c r="K28" s="1">
        <v>24</v>
      </c>
      <c r="L28" s="54">
        <f t="shared" ref="L28" si="28">K28/G28</f>
        <v>6.3157894736842106</v>
      </c>
      <c r="M28" s="3">
        <v>415</v>
      </c>
      <c r="N28" s="51">
        <v>40</v>
      </c>
      <c r="O28" s="51">
        <f t="shared" ref="O28" si="29">N28/G28</f>
        <v>10.526315789473685</v>
      </c>
      <c r="P28" s="3">
        <v>192.91</v>
      </c>
      <c r="Q28" s="3">
        <v>461</v>
      </c>
      <c r="R28" s="3">
        <f t="shared" ref="R28" si="30">D28</f>
        <v>40</v>
      </c>
      <c r="S28" s="3">
        <v>60000</v>
      </c>
    </row>
    <row r="29" spans="1:19" x14ac:dyDescent="0.35">
      <c r="A29" s="61" t="s">
        <v>266</v>
      </c>
      <c r="B29" t="s">
        <v>198</v>
      </c>
      <c r="C29" s="3">
        <v>15</v>
      </c>
      <c r="D29" s="3">
        <v>40</v>
      </c>
      <c r="E29" s="3">
        <v>57</v>
      </c>
      <c r="F29" s="3">
        <v>40</v>
      </c>
      <c r="G29" s="54">
        <f t="shared" ref="G29" si="31">E29/C29</f>
        <v>3.8</v>
      </c>
      <c r="H29" s="3" t="s">
        <v>224</v>
      </c>
      <c r="I29" s="3">
        <v>400</v>
      </c>
      <c r="J29" s="52">
        <f t="shared" ref="J29" si="32">I29*G29</f>
        <v>1520</v>
      </c>
      <c r="K29" s="1">
        <v>24</v>
      </c>
      <c r="L29" s="54">
        <f t="shared" ref="L29" si="33">K29/G29</f>
        <v>6.3157894736842106</v>
      </c>
      <c r="M29" s="3">
        <v>415</v>
      </c>
      <c r="N29" s="51">
        <v>40</v>
      </c>
      <c r="O29" s="51">
        <f t="shared" ref="O29:O31" si="34">N29/G29</f>
        <v>10.526315789473685</v>
      </c>
      <c r="P29" s="3">
        <v>192.91</v>
      </c>
      <c r="Q29" s="3">
        <v>461</v>
      </c>
      <c r="R29" s="3">
        <f t="shared" ref="R29:R31" si="35">D29</f>
        <v>40</v>
      </c>
      <c r="S29" s="3">
        <v>60000</v>
      </c>
    </row>
    <row r="30" spans="1:19" x14ac:dyDescent="0.35">
      <c r="A30" t="s">
        <v>306</v>
      </c>
      <c r="B30" t="s">
        <v>198</v>
      </c>
      <c r="C30" s="3">
        <v>15</v>
      </c>
      <c r="D30" s="3">
        <v>55</v>
      </c>
      <c r="E30" s="3">
        <v>57</v>
      </c>
      <c r="F30" s="3">
        <v>55</v>
      </c>
      <c r="G30" s="54">
        <f t="shared" ref="G30:G31" si="36">E30/C30</f>
        <v>3.8</v>
      </c>
      <c r="H30" s="3" t="s">
        <v>224</v>
      </c>
      <c r="I30" s="3">
        <v>600</v>
      </c>
      <c r="J30" s="52">
        <f t="shared" ref="J30:J31" si="37">I30*G30</f>
        <v>2280</v>
      </c>
      <c r="K30" s="1">
        <v>24</v>
      </c>
      <c r="L30" s="54">
        <f t="shared" ref="L30:L31" si="38">K30/G30</f>
        <v>6.3157894736842106</v>
      </c>
      <c r="M30" s="3">
        <v>415</v>
      </c>
      <c r="N30" s="51">
        <v>60</v>
      </c>
      <c r="O30" s="51">
        <f t="shared" si="34"/>
        <v>15.789473684210527</v>
      </c>
      <c r="P30" s="3">
        <v>192.91</v>
      </c>
      <c r="Q30" s="3">
        <v>461</v>
      </c>
      <c r="R30" s="3">
        <f t="shared" si="35"/>
        <v>55</v>
      </c>
      <c r="S30" s="3">
        <v>60000</v>
      </c>
    </row>
    <row r="31" spans="1:19" x14ac:dyDescent="0.35">
      <c r="A31" t="s">
        <v>308</v>
      </c>
      <c r="B31" t="s">
        <v>198</v>
      </c>
      <c r="C31" s="3">
        <v>15</v>
      </c>
      <c r="D31" s="3">
        <v>55</v>
      </c>
      <c r="E31" s="3">
        <v>57</v>
      </c>
      <c r="F31" s="3">
        <v>55</v>
      </c>
      <c r="G31" s="54">
        <f t="shared" si="36"/>
        <v>3.8</v>
      </c>
      <c r="H31" s="3" t="s">
        <v>224</v>
      </c>
      <c r="I31" s="3">
        <v>800</v>
      </c>
      <c r="J31" s="52">
        <f t="shared" si="37"/>
        <v>3040</v>
      </c>
      <c r="K31" s="1">
        <v>24</v>
      </c>
      <c r="L31" s="54">
        <f t="shared" si="38"/>
        <v>6.3157894736842106</v>
      </c>
      <c r="M31" s="3">
        <v>415</v>
      </c>
      <c r="N31" s="51">
        <v>60</v>
      </c>
      <c r="O31" s="51">
        <f t="shared" si="34"/>
        <v>15.789473684210527</v>
      </c>
      <c r="P31" s="3">
        <v>152.72</v>
      </c>
      <c r="Q31" s="3">
        <v>576</v>
      </c>
      <c r="R31" s="3">
        <f t="shared" si="35"/>
        <v>55</v>
      </c>
      <c r="S31" s="3">
        <v>95000</v>
      </c>
    </row>
    <row r="32" spans="1:19" x14ac:dyDescent="0.35">
      <c r="A32" t="s">
        <v>307</v>
      </c>
      <c r="B32" t="s">
        <v>198</v>
      </c>
      <c r="C32" s="3">
        <v>15</v>
      </c>
      <c r="D32" s="3">
        <v>55</v>
      </c>
      <c r="E32" s="3">
        <v>57</v>
      </c>
      <c r="F32" s="3">
        <v>55</v>
      </c>
      <c r="G32" s="54">
        <f t="shared" ref="G32" si="39">E32/C32</f>
        <v>3.8</v>
      </c>
      <c r="H32" s="3" t="s">
        <v>225</v>
      </c>
      <c r="I32" s="3">
        <v>800</v>
      </c>
      <c r="J32" s="52">
        <f t="shared" ref="J32" si="40">I32*G32</f>
        <v>3040</v>
      </c>
      <c r="K32" s="1">
        <v>24</v>
      </c>
      <c r="L32" s="54">
        <f t="shared" ref="L32" si="41">K32/G32</f>
        <v>6.3157894736842106</v>
      </c>
      <c r="M32" s="3">
        <v>415</v>
      </c>
      <c r="N32" s="51">
        <v>60</v>
      </c>
      <c r="O32" s="51">
        <f t="shared" ref="O32" si="42">N32/G32</f>
        <v>15.789473684210527</v>
      </c>
      <c r="P32" s="3">
        <v>152.72</v>
      </c>
      <c r="Q32" s="3">
        <v>576</v>
      </c>
      <c r="R32" s="3">
        <f t="shared" ref="R32" si="43">D32</f>
        <v>55</v>
      </c>
      <c r="S32" s="3">
        <v>95000</v>
      </c>
    </row>
    <row r="35" spans="1:19" x14ac:dyDescent="0.35">
      <c r="A35" t="s">
        <v>309</v>
      </c>
      <c r="B35" t="s">
        <v>198</v>
      </c>
      <c r="C35" s="3">
        <v>15</v>
      </c>
      <c r="D35" s="3">
        <v>40</v>
      </c>
      <c r="E35" s="3">
        <v>57</v>
      </c>
      <c r="F35" s="3">
        <v>40</v>
      </c>
      <c r="G35" s="54">
        <f t="shared" ref="G35" si="44">E35/C35</f>
        <v>3.8</v>
      </c>
      <c r="H35" s="3" t="s">
        <v>222</v>
      </c>
      <c r="I35" s="3">
        <v>300</v>
      </c>
      <c r="J35" s="52">
        <f t="shared" ref="J35" si="45">I35*G35</f>
        <v>1140</v>
      </c>
      <c r="K35" s="1">
        <v>40</v>
      </c>
      <c r="L35" s="54">
        <f t="shared" ref="L35" si="46">K35/G35</f>
        <v>10.526315789473685</v>
      </c>
      <c r="M35" s="3" t="s">
        <v>223</v>
      </c>
      <c r="N35" s="51">
        <v>40</v>
      </c>
      <c r="O35" s="51">
        <f>N35/G35</f>
        <v>10.526315789473685</v>
      </c>
      <c r="P35" s="3">
        <v>115.75</v>
      </c>
      <c r="Q35" s="3">
        <v>345.81</v>
      </c>
      <c r="R35" s="3">
        <v>40</v>
      </c>
      <c r="S35" s="3">
        <v>29000</v>
      </c>
    </row>
    <row r="36" spans="1:19" x14ac:dyDescent="0.35">
      <c r="A36" t="s">
        <v>312</v>
      </c>
      <c r="B36" t="s">
        <v>198</v>
      </c>
      <c r="C36" s="3">
        <v>15</v>
      </c>
      <c r="D36" s="3">
        <v>40</v>
      </c>
      <c r="E36" s="3">
        <v>57</v>
      </c>
      <c r="F36" s="3">
        <v>40</v>
      </c>
      <c r="G36" s="54">
        <f t="shared" ref="G36" si="47">E36/C36</f>
        <v>3.8</v>
      </c>
      <c r="H36" s="3" t="s">
        <v>224</v>
      </c>
      <c r="I36" s="3">
        <v>300</v>
      </c>
      <c r="J36" s="52">
        <f t="shared" ref="J36" si="48">I36*G36</f>
        <v>1140</v>
      </c>
      <c r="K36" s="1">
        <v>40</v>
      </c>
      <c r="L36" s="54">
        <f t="shared" ref="L36" si="49">K36/G36</f>
        <v>10.526315789473685</v>
      </c>
      <c r="M36" s="3" t="s">
        <v>223</v>
      </c>
      <c r="N36" s="51">
        <v>40</v>
      </c>
      <c r="O36" s="51">
        <f>N36/G36</f>
        <v>10.526315789473685</v>
      </c>
      <c r="P36" s="3">
        <v>115.75</v>
      </c>
      <c r="Q36" s="3">
        <v>345.81</v>
      </c>
      <c r="R36" s="3">
        <v>40</v>
      </c>
      <c r="S36" s="3">
        <v>29000</v>
      </c>
    </row>
    <row r="37" spans="1:19" x14ac:dyDescent="0.35">
      <c r="A37" t="s">
        <v>310</v>
      </c>
      <c r="B37" t="s">
        <v>198</v>
      </c>
      <c r="C37" s="3">
        <v>15</v>
      </c>
      <c r="D37" s="3">
        <v>55</v>
      </c>
      <c r="E37" s="3">
        <v>57</v>
      </c>
      <c r="F37" s="3">
        <v>55</v>
      </c>
      <c r="G37" s="54">
        <f t="shared" ref="G37" si="50">E37/C37</f>
        <v>3.8</v>
      </c>
      <c r="H37" s="3" t="s">
        <v>224</v>
      </c>
      <c r="I37" s="3">
        <v>500</v>
      </c>
      <c r="J37" s="52">
        <f t="shared" ref="J37" si="51">I37*G37</f>
        <v>1900</v>
      </c>
      <c r="K37" s="1">
        <v>80</v>
      </c>
      <c r="L37" s="54">
        <f>K37/G37</f>
        <v>21.05263157894737</v>
      </c>
      <c r="M37" s="3" t="s">
        <v>223</v>
      </c>
      <c r="N37" s="51">
        <v>60</v>
      </c>
      <c r="O37" s="51">
        <f>N37/G37</f>
        <v>15.789473684210527</v>
      </c>
      <c r="P37" s="3">
        <v>115.75</v>
      </c>
      <c r="Q37" s="3">
        <v>345.81</v>
      </c>
      <c r="R37" s="3">
        <v>55</v>
      </c>
      <c r="S37" s="3">
        <v>60000</v>
      </c>
    </row>
    <row r="38" spans="1:19" x14ac:dyDescent="0.35">
      <c r="A38" t="s">
        <v>311</v>
      </c>
      <c r="B38" t="s">
        <v>198</v>
      </c>
      <c r="C38" s="3">
        <v>15</v>
      </c>
      <c r="D38" s="3">
        <v>55</v>
      </c>
      <c r="E38" s="3">
        <v>57</v>
      </c>
      <c r="F38" s="3">
        <v>55</v>
      </c>
      <c r="G38" s="54">
        <f t="shared" ref="G38" si="52">E38/C38</f>
        <v>3.8</v>
      </c>
      <c r="H38" s="3" t="s">
        <v>224</v>
      </c>
      <c r="I38" s="3">
        <v>800</v>
      </c>
      <c r="J38" s="52">
        <f t="shared" ref="J38" si="53">I38*G38</f>
        <v>3040</v>
      </c>
      <c r="K38" s="1">
        <v>40</v>
      </c>
      <c r="L38" s="54">
        <f>K38/G38</f>
        <v>10.526315789473685</v>
      </c>
      <c r="M38" s="3" t="s">
        <v>223</v>
      </c>
      <c r="N38" s="51">
        <v>60</v>
      </c>
      <c r="O38" s="51">
        <f>N38/G38</f>
        <v>15.789473684210527</v>
      </c>
      <c r="P38" s="3">
        <v>115.75</v>
      </c>
      <c r="Q38" s="3">
        <v>345.81</v>
      </c>
      <c r="R38" s="3">
        <v>55</v>
      </c>
      <c r="S38" s="3">
        <v>60000</v>
      </c>
    </row>
    <row r="39" spans="1:19" x14ac:dyDescent="0.35">
      <c r="A39" t="s">
        <v>313</v>
      </c>
      <c r="B39" t="s">
        <v>198</v>
      </c>
      <c r="C39" s="3">
        <v>15</v>
      </c>
      <c r="D39" s="3">
        <v>55</v>
      </c>
      <c r="E39" s="3">
        <v>57</v>
      </c>
      <c r="F39" s="3">
        <v>55</v>
      </c>
      <c r="G39" s="54">
        <f t="shared" ref="G39" si="54">E39/C39</f>
        <v>3.8</v>
      </c>
      <c r="H39" s="3" t="s">
        <v>225</v>
      </c>
      <c r="I39" s="3">
        <v>800</v>
      </c>
      <c r="J39" s="52">
        <f t="shared" ref="J39" si="55">I39*G39</f>
        <v>3040</v>
      </c>
      <c r="K39" s="1">
        <v>40</v>
      </c>
      <c r="L39" s="54">
        <f>K39/G39</f>
        <v>10.526315789473685</v>
      </c>
      <c r="M39" s="3" t="s">
        <v>223</v>
      </c>
      <c r="N39" s="51">
        <v>60</v>
      </c>
      <c r="O39" s="51">
        <f>N39/G39</f>
        <v>15.789473684210527</v>
      </c>
      <c r="P39" s="3">
        <v>115.75</v>
      </c>
      <c r="Q39" s="3">
        <v>345.81</v>
      </c>
      <c r="R39" s="3">
        <v>55</v>
      </c>
      <c r="S39" s="3">
        <v>60000</v>
      </c>
    </row>
    <row r="41" spans="1:19" x14ac:dyDescent="0.35">
      <c r="A41" s="2" t="s">
        <v>226</v>
      </c>
      <c r="B41" s="2" t="s">
        <v>148</v>
      </c>
      <c r="C41" s="3">
        <v>11</v>
      </c>
      <c r="D41" s="3">
        <v>25.4</v>
      </c>
      <c r="E41" s="3">
        <v>61</v>
      </c>
      <c r="G41" s="54">
        <f>E41/C41</f>
        <v>5.5454545454545459</v>
      </c>
      <c r="H41" s="3" t="s">
        <v>214</v>
      </c>
      <c r="I41" s="1">
        <v>20</v>
      </c>
      <c r="J41" s="19">
        <f>I41*G41</f>
        <v>110.90909090909092</v>
      </c>
      <c r="K41" s="1">
        <v>34</v>
      </c>
      <c r="L41" s="54">
        <f t="shared" ref="L41:L46" si="56">K41/G41</f>
        <v>6.1311475409836058</v>
      </c>
      <c r="M41" s="3">
        <v>415</v>
      </c>
      <c r="R41" s="1">
        <v>25.4</v>
      </c>
      <c r="S41" s="3">
        <v>18000</v>
      </c>
    </row>
    <row r="42" spans="1:19" x14ac:dyDescent="0.35">
      <c r="A42" s="2" t="s">
        <v>196</v>
      </c>
      <c r="B42" s="2" t="s">
        <v>148</v>
      </c>
      <c r="C42" s="3">
        <v>9</v>
      </c>
      <c r="E42" s="3">
        <v>50</v>
      </c>
      <c r="G42" s="54">
        <f t="shared" ref="G42:G43" si="57">E42/C42</f>
        <v>5.5555555555555554</v>
      </c>
      <c r="H42" s="3" t="s">
        <v>220</v>
      </c>
      <c r="I42" s="1">
        <v>62</v>
      </c>
      <c r="J42" s="19">
        <f t="shared" ref="J42:J45" si="58">I42*G42</f>
        <v>344.44444444444446</v>
      </c>
      <c r="K42" s="1">
        <v>34</v>
      </c>
      <c r="L42" s="54">
        <f t="shared" si="56"/>
        <v>6.12</v>
      </c>
      <c r="M42" s="3">
        <v>415</v>
      </c>
      <c r="S42" s="3">
        <v>22400</v>
      </c>
    </row>
    <row r="43" spans="1:19" x14ac:dyDescent="0.35">
      <c r="A43" s="2" t="s">
        <v>197</v>
      </c>
      <c r="B43" s="2" t="s">
        <v>148</v>
      </c>
      <c r="C43" s="3">
        <v>10</v>
      </c>
      <c r="E43" s="3">
        <v>64</v>
      </c>
      <c r="G43" s="54">
        <f t="shared" si="57"/>
        <v>6.4</v>
      </c>
      <c r="H43" s="3" t="s">
        <v>220</v>
      </c>
      <c r="I43" s="1">
        <v>95</v>
      </c>
      <c r="J43" s="19">
        <f t="shared" si="58"/>
        <v>608</v>
      </c>
      <c r="K43" s="1">
        <v>22</v>
      </c>
      <c r="L43" s="54">
        <f t="shared" si="56"/>
        <v>3.4375</v>
      </c>
      <c r="M43" s="3">
        <v>415</v>
      </c>
      <c r="S43" s="3">
        <v>22400</v>
      </c>
    </row>
    <row r="44" spans="1:19" x14ac:dyDescent="0.35">
      <c r="A44" s="2" t="s">
        <v>227</v>
      </c>
      <c r="B44" s="2" t="s">
        <v>148</v>
      </c>
      <c r="C44" s="3">
        <v>9</v>
      </c>
      <c r="E44" s="3">
        <v>57</v>
      </c>
      <c r="G44" s="54">
        <f t="shared" ref="G44:G46" si="59">E44/C44</f>
        <v>6.333333333333333</v>
      </c>
      <c r="H44" s="3" t="s">
        <v>222</v>
      </c>
      <c r="I44" s="3">
        <v>128</v>
      </c>
      <c r="J44" s="19">
        <f>I44*G44</f>
        <v>810.66666666666663</v>
      </c>
      <c r="K44" s="3">
        <v>22</v>
      </c>
      <c r="L44" s="54">
        <f>K44/G44</f>
        <v>3.4736842105263159</v>
      </c>
      <c r="M44" s="3">
        <v>415</v>
      </c>
      <c r="S44" s="3">
        <v>29000</v>
      </c>
    </row>
    <row r="45" spans="1:19" x14ac:dyDescent="0.35">
      <c r="A45" s="2" t="s">
        <v>228</v>
      </c>
      <c r="B45" s="2" t="s">
        <v>148</v>
      </c>
      <c r="C45" s="3">
        <v>11</v>
      </c>
      <c r="E45" s="3">
        <v>48</v>
      </c>
      <c r="G45" s="54">
        <f t="shared" si="59"/>
        <v>4.3636363636363633</v>
      </c>
      <c r="H45" s="3" t="s">
        <v>224</v>
      </c>
      <c r="I45" s="3">
        <v>369</v>
      </c>
      <c r="J45" s="19">
        <f t="shared" si="58"/>
        <v>1610.181818181818</v>
      </c>
      <c r="K45" s="3">
        <v>15</v>
      </c>
      <c r="L45" s="54">
        <f t="shared" si="56"/>
        <v>3.4375000000000004</v>
      </c>
      <c r="M45" s="3">
        <v>415</v>
      </c>
    </row>
    <row r="46" spans="1:19" x14ac:dyDescent="0.35">
      <c r="A46" t="s">
        <v>229</v>
      </c>
      <c r="C46" s="3">
        <v>14</v>
      </c>
      <c r="E46" s="3">
        <v>72</v>
      </c>
      <c r="G46" s="54">
        <f t="shared" si="59"/>
        <v>5.1428571428571432</v>
      </c>
      <c r="H46" s="3" t="s">
        <v>214</v>
      </c>
      <c r="I46" s="3">
        <v>428</v>
      </c>
      <c r="J46" s="19">
        <f>I46*G46</f>
        <v>2201.1428571428573</v>
      </c>
      <c r="K46" s="3">
        <v>16.5</v>
      </c>
      <c r="L46" s="54">
        <f t="shared" si="56"/>
        <v>3.208333333333333</v>
      </c>
      <c r="M46" s="3">
        <v>415</v>
      </c>
      <c r="R46" s="1">
        <v>25.4</v>
      </c>
      <c r="S46" s="3">
        <v>18000</v>
      </c>
    </row>
    <row r="48" spans="1:19" x14ac:dyDescent="0.35">
      <c r="A48" s="2" t="s">
        <v>230</v>
      </c>
      <c r="B48" s="2" t="s">
        <v>148</v>
      </c>
      <c r="C48" s="3">
        <v>19</v>
      </c>
      <c r="D48" s="3">
        <v>25.4</v>
      </c>
      <c r="E48" s="3">
        <v>57</v>
      </c>
      <c r="G48" s="3">
        <f t="shared" ref="G48:G50" si="60">E48/C48</f>
        <v>3</v>
      </c>
      <c r="H48" s="3" t="s">
        <v>214</v>
      </c>
      <c r="I48" s="1">
        <v>15</v>
      </c>
      <c r="J48" s="1">
        <f>I48*G48</f>
        <v>45</v>
      </c>
      <c r="K48" s="1">
        <v>34</v>
      </c>
      <c r="L48" s="54">
        <f>K48/G48</f>
        <v>11.333333333333334</v>
      </c>
      <c r="M48" s="3">
        <v>230</v>
      </c>
      <c r="R48" s="1">
        <v>25.4</v>
      </c>
      <c r="S48" s="3">
        <v>18000</v>
      </c>
    </row>
    <row r="49" spans="1:24" x14ac:dyDescent="0.35">
      <c r="A49" s="2" t="s">
        <v>196</v>
      </c>
      <c r="B49" s="2" t="s">
        <v>148</v>
      </c>
      <c r="C49" s="3">
        <v>19</v>
      </c>
      <c r="D49" s="3">
        <v>25.4</v>
      </c>
      <c r="E49" s="3">
        <v>57</v>
      </c>
      <c r="G49" s="3">
        <f t="shared" si="60"/>
        <v>3</v>
      </c>
      <c r="H49" s="3" t="s">
        <v>214</v>
      </c>
      <c r="I49" s="1">
        <v>62</v>
      </c>
      <c r="J49" s="1">
        <f>I49*G49</f>
        <v>186</v>
      </c>
      <c r="K49" s="1">
        <v>34</v>
      </c>
      <c r="L49" s="54">
        <f>K49/G49</f>
        <v>11.333333333333334</v>
      </c>
      <c r="M49" s="3">
        <v>230</v>
      </c>
      <c r="R49" s="1">
        <v>25.4</v>
      </c>
      <c r="S49" s="3">
        <v>18000</v>
      </c>
    </row>
    <row r="50" spans="1:24" x14ac:dyDescent="0.35">
      <c r="A50" s="2" t="s">
        <v>197</v>
      </c>
      <c r="B50" s="2" t="s">
        <v>148</v>
      </c>
      <c r="C50" s="3">
        <v>19</v>
      </c>
      <c r="D50" s="3">
        <v>25.4</v>
      </c>
      <c r="E50" s="3">
        <v>57</v>
      </c>
      <c r="G50" s="3">
        <f t="shared" si="60"/>
        <v>3</v>
      </c>
      <c r="H50" s="3" t="s">
        <v>214</v>
      </c>
      <c r="I50" s="1">
        <v>95</v>
      </c>
      <c r="J50" s="1">
        <f t="shared" ref="J50" si="61">I50*G50</f>
        <v>285</v>
      </c>
      <c r="K50" s="1">
        <v>22</v>
      </c>
      <c r="L50" s="54">
        <f t="shared" ref="L50" si="62">K50/G50</f>
        <v>7.333333333333333</v>
      </c>
      <c r="M50" s="3">
        <v>230</v>
      </c>
      <c r="R50" s="1">
        <v>25.4</v>
      </c>
      <c r="S50" s="3">
        <v>18000</v>
      </c>
    </row>
    <row r="51" spans="1:24" x14ac:dyDescent="0.35">
      <c r="G51" s="54"/>
      <c r="L51" s="54"/>
    </row>
    <row r="52" spans="1:24" s="39" customFormat="1" x14ac:dyDescent="0.35">
      <c r="A52" s="39" t="s">
        <v>279</v>
      </c>
      <c r="B52" s="83" t="s">
        <v>148</v>
      </c>
      <c r="C52" s="51">
        <v>19</v>
      </c>
      <c r="D52" s="51">
        <v>25.4</v>
      </c>
      <c r="E52" s="51">
        <v>57</v>
      </c>
      <c r="F52" s="51"/>
      <c r="G52" s="51">
        <f t="shared" ref="G52" si="63">E52/C52</f>
        <v>3</v>
      </c>
      <c r="H52" s="51" t="s">
        <v>214</v>
      </c>
      <c r="I52" s="78">
        <v>100</v>
      </c>
      <c r="J52" s="78">
        <f>I52*G52</f>
        <v>300</v>
      </c>
      <c r="K52" s="78">
        <v>28</v>
      </c>
      <c r="L52" s="55">
        <f t="shared" ref="L52" si="64">K52/G52</f>
        <v>9.3333333333333339</v>
      </c>
      <c r="M52" s="51">
        <v>415</v>
      </c>
      <c r="P52" s="51"/>
      <c r="Q52" s="51"/>
      <c r="R52" s="78">
        <v>25.4</v>
      </c>
      <c r="S52" s="51">
        <v>18000</v>
      </c>
    </row>
    <row r="53" spans="1:24" s="39" customFormat="1" x14ac:dyDescent="0.35">
      <c r="A53" s="39" t="s">
        <v>280</v>
      </c>
      <c r="B53" s="83" t="s">
        <v>148</v>
      </c>
      <c r="C53" s="51">
        <v>15</v>
      </c>
      <c r="D53" s="51">
        <v>25.4</v>
      </c>
      <c r="E53" s="51">
        <v>57</v>
      </c>
      <c r="F53" s="51"/>
      <c r="G53" s="51">
        <f t="shared" ref="G53" si="65">E53/C53</f>
        <v>3.8</v>
      </c>
      <c r="H53" s="51" t="s">
        <v>214</v>
      </c>
      <c r="I53" s="78">
        <v>160</v>
      </c>
      <c r="J53" s="78">
        <f>I53*G53</f>
        <v>608</v>
      </c>
      <c r="K53" s="78">
        <v>28</v>
      </c>
      <c r="L53" s="55">
        <f t="shared" ref="L53" si="66">K53/G53</f>
        <v>7.3684210526315796</v>
      </c>
      <c r="M53" s="51">
        <v>415</v>
      </c>
      <c r="P53" s="51"/>
      <c r="Q53" s="51"/>
      <c r="R53" s="78">
        <v>25.4</v>
      </c>
      <c r="S53" s="51">
        <v>18000</v>
      </c>
    </row>
    <row r="54" spans="1:24" x14ac:dyDescent="0.35">
      <c r="G54" s="54"/>
      <c r="L54" s="54"/>
    </row>
    <row r="55" spans="1:24" x14ac:dyDescent="0.35">
      <c r="A55" s="2" t="s">
        <v>231</v>
      </c>
      <c r="B55" s="2" t="s">
        <v>148</v>
      </c>
      <c r="C55" s="3">
        <v>19</v>
      </c>
      <c r="D55" s="3">
        <v>25.4</v>
      </c>
      <c r="E55" s="3">
        <v>57</v>
      </c>
      <c r="G55" s="3">
        <f>E55/C55</f>
        <v>3</v>
      </c>
      <c r="H55" s="3" t="s">
        <v>214</v>
      </c>
      <c r="I55" s="1">
        <v>70</v>
      </c>
      <c r="J55" s="1">
        <f>I55*G55</f>
        <v>210</v>
      </c>
      <c r="K55" s="1">
        <v>28</v>
      </c>
      <c r="L55" s="54">
        <f t="shared" ref="L55" si="67">K55/G55</f>
        <v>9.3333333333333339</v>
      </c>
      <c r="M55" s="3">
        <v>230</v>
      </c>
      <c r="N55" s="1"/>
      <c r="O55" s="1"/>
      <c r="P55" s="1"/>
      <c r="Q55" s="1"/>
      <c r="R55" s="1">
        <v>25.4</v>
      </c>
      <c r="S55" s="3">
        <v>18000</v>
      </c>
      <c r="U55" s="3"/>
      <c r="X55" s="58"/>
    </row>
    <row r="60" spans="1:24" x14ac:dyDescent="0.35">
      <c r="H60" s="105" t="s">
        <v>298</v>
      </c>
      <c r="I60" s="105"/>
      <c r="J60" s="105"/>
      <c r="K60" s="105"/>
      <c r="L60" s="105"/>
      <c r="M60" s="105"/>
      <c r="N60" s="105"/>
      <c r="O60" s="105"/>
      <c r="P60" s="105"/>
      <c r="Q60" s="105"/>
      <c r="R60" s="105"/>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3" customWidth="1"/>
    <col min="2" max="2" width="24" style="3" customWidth="1"/>
    <col min="3" max="3" width="21.54296875" style="3" customWidth="1"/>
    <col min="4" max="4" width="24.81640625" style="3" customWidth="1"/>
    <col min="5" max="5" width="21.26953125" style="3" bestFit="1" customWidth="1"/>
    <col min="6" max="6" width="20.26953125" style="3" customWidth="1"/>
    <col min="7" max="7" width="15.54296875" style="3" customWidth="1"/>
    <col min="8" max="8" width="18.54296875" style="3" customWidth="1"/>
    <col min="9" max="9" width="8.7265625" style="3"/>
    <col min="10" max="10" width="20.81640625" style="3" customWidth="1"/>
  </cols>
  <sheetData>
    <row r="1" spans="1:10" x14ac:dyDescent="0.35">
      <c r="A1" s="5" t="s">
        <v>232</v>
      </c>
      <c r="B1" s="5" t="s">
        <v>233</v>
      </c>
      <c r="C1" s="5" t="s">
        <v>234</v>
      </c>
      <c r="D1" s="5" t="s">
        <v>235</v>
      </c>
      <c r="E1" s="5" t="s">
        <v>236</v>
      </c>
      <c r="F1" s="5" t="s">
        <v>237</v>
      </c>
      <c r="G1" s="5" t="s">
        <v>238</v>
      </c>
      <c r="H1" s="5" t="s">
        <v>239</v>
      </c>
      <c r="I1" s="5" t="s">
        <v>240</v>
      </c>
      <c r="J1" s="5" t="s">
        <v>274</v>
      </c>
    </row>
    <row r="2" spans="1:10" x14ac:dyDescent="0.35">
      <c r="A2" s="62" t="s">
        <v>214</v>
      </c>
      <c r="B2" s="62">
        <v>12</v>
      </c>
      <c r="C2" s="62">
        <v>25.4</v>
      </c>
      <c r="D2" s="62">
        <v>57</v>
      </c>
      <c r="E2" s="62">
        <v>30</v>
      </c>
      <c r="F2" s="62">
        <v>18000</v>
      </c>
      <c r="G2" s="63">
        <f>0.5*25.4</f>
        <v>12.7</v>
      </c>
      <c r="H2" s="62">
        <v>17999</v>
      </c>
      <c r="I2" s="62">
        <f>D2/B2</f>
        <v>4.75</v>
      </c>
      <c r="J2" s="62">
        <v>230.54</v>
      </c>
    </row>
    <row r="3" spans="1:10" x14ac:dyDescent="0.35">
      <c r="A3" s="62" t="s">
        <v>214</v>
      </c>
      <c r="B3" s="62">
        <v>15</v>
      </c>
      <c r="C3" s="62">
        <v>25.4</v>
      </c>
      <c r="D3" s="62">
        <v>57</v>
      </c>
      <c r="E3" s="62">
        <v>30</v>
      </c>
      <c r="F3" s="62">
        <v>18000</v>
      </c>
      <c r="G3" s="63">
        <f>0.5*25.4</f>
        <v>12.7</v>
      </c>
      <c r="H3" s="62">
        <v>18000</v>
      </c>
      <c r="I3" s="62">
        <f>D3/B3</f>
        <v>3.8</v>
      </c>
      <c r="J3" s="62">
        <v>230.54</v>
      </c>
    </row>
    <row r="4" spans="1:10" x14ac:dyDescent="0.35">
      <c r="A4" s="62" t="s">
        <v>214</v>
      </c>
      <c r="B4" s="62">
        <v>19</v>
      </c>
      <c r="C4" s="62">
        <v>25.4</v>
      </c>
      <c r="D4" s="62">
        <v>57</v>
      </c>
      <c r="E4" s="62">
        <v>30</v>
      </c>
      <c r="F4" s="62">
        <v>18000</v>
      </c>
      <c r="G4" s="63">
        <f>0.5*25.4</f>
        <v>12.7</v>
      </c>
      <c r="H4" s="62">
        <v>18000</v>
      </c>
      <c r="I4" s="62">
        <f t="shared" ref="I4:I7" si="0">D4/B4</f>
        <v>3</v>
      </c>
      <c r="J4" s="62">
        <v>230.54</v>
      </c>
    </row>
    <row r="5" spans="1:10" x14ac:dyDescent="0.35">
      <c r="A5" s="64" t="s">
        <v>220</v>
      </c>
      <c r="B5" s="65">
        <v>12</v>
      </c>
      <c r="C5" s="65">
        <v>25.4</v>
      </c>
      <c r="D5" s="65">
        <v>57</v>
      </c>
      <c r="E5" s="65" t="s">
        <v>241</v>
      </c>
      <c r="F5" s="65">
        <v>22400</v>
      </c>
      <c r="G5" s="66">
        <f>0.625*25.4</f>
        <v>15.875</v>
      </c>
      <c r="H5" s="65">
        <v>22400</v>
      </c>
      <c r="I5" s="65">
        <f t="shared" si="0"/>
        <v>4.75</v>
      </c>
      <c r="J5" s="65">
        <v>288.18</v>
      </c>
    </row>
    <row r="6" spans="1:10" x14ac:dyDescent="0.35">
      <c r="A6" s="64" t="s">
        <v>220</v>
      </c>
      <c r="B6" s="65">
        <v>18</v>
      </c>
      <c r="C6" s="65">
        <v>25.4</v>
      </c>
      <c r="D6" s="65">
        <v>57</v>
      </c>
      <c r="E6" s="65" t="s">
        <v>241</v>
      </c>
      <c r="F6" s="65">
        <v>22400</v>
      </c>
      <c r="G6" s="66">
        <f>0.625*25.4</f>
        <v>15.875</v>
      </c>
      <c r="H6" s="65">
        <v>22400</v>
      </c>
      <c r="I6" s="65">
        <f t="shared" si="0"/>
        <v>3.1666666666666665</v>
      </c>
      <c r="J6" s="65">
        <v>288.18</v>
      </c>
    </row>
    <row r="7" spans="1:10" x14ac:dyDescent="0.35">
      <c r="A7" s="84" t="s">
        <v>222</v>
      </c>
      <c r="B7" s="84">
        <v>12</v>
      </c>
      <c r="C7" s="84">
        <v>25.4</v>
      </c>
      <c r="D7" s="84">
        <v>57</v>
      </c>
      <c r="E7" s="84" t="s">
        <v>242</v>
      </c>
      <c r="F7" s="84">
        <v>29000</v>
      </c>
      <c r="G7" s="85">
        <f>0.75*25.4</f>
        <v>19.049999999999997</v>
      </c>
      <c r="H7" s="84">
        <v>29000</v>
      </c>
      <c r="I7" s="84">
        <f t="shared" si="0"/>
        <v>4.75</v>
      </c>
      <c r="J7" s="84">
        <v>345.81</v>
      </c>
    </row>
    <row r="8" spans="1:10" x14ac:dyDescent="0.35">
      <c r="A8" s="84" t="s">
        <v>222</v>
      </c>
      <c r="B8" s="84">
        <v>12</v>
      </c>
      <c r="C8" s="84">
        <v>30</v>
      </c>
      <c r="D8" s="84">
        <v>57</v>
      </c>
      <c r="E8" s="84" t="s">
        <v>242</v>
      </c>
      <c r="F8" s="84">
        <v>29000</v>
      </c>
      <c r="G8" s="85">
        <f>0.75*25.4</f>
        <v>19.049999999999997</v>
      </c>
      <c r="H8" s="84">
        <v>29000</v>
      </c>
      <c r="I8" s="84">
        <f t="shared" ref="I8" si="1">D8/B8</f>
        <v>4.75</v>
      </c>
      <c r="J8" s="84">
        <v>345.81</v>
      </c>
    </row>
    <row r="9" spans="1:10" x14ac:dyDescent="0.35">
      <c r="A9" s="84" t="s">
        <v>222</v>
      </c>
      <c r="B9" s="84">
        <v>15</v>
      </c>
      <c r="C9" s="84">
        <v>30</v>
      </c>
      <c r="D9" s="84">
        <v>57</v>
      </c>
      <c r="E9" s="84" t="s">
        <v>242</v>
      </c>
      <c r="F9" s="84">
        <v>29000</v>
      </c>
      <c r="G9" s="85">
        <f>0.75*25.4</f>
        <v>19.049999999999997</v>
      </c>
      <c r="H9" s="84">
        <v>29000</v>
      </c>
      <c r="I9" s="84">
        <f>D9/B9</f>
        <v>3.8</v>
      </c>
      <c r="J9" s="84">
        <v>345.81</v>
      </c>
    </row>
    <row r="10" spans="1:10" x14ac:dyDescent="0.35">
      <c r="A10" s="86" t="s">
        <v>224</v>
      </c>
      <c r="B10" s="86">
        <v>15</v>
      </c>
      <c r="C10" s="86">
        <v>40</v>
      </c>
      <c r="D10" s="86">
        <v>57</v>
      </c>
      <c r="E10" s="86" t="s">
        <v>243</v>
      </c>
      <c r="F10" s="86">
        <v>60000</v>
      </c>
      <c r="G10" s="87">
        <v>25.4</v>
      </c>
      <c r="H10" s="86">
        <v>60000</v>
      </c>
      <c r="I10" s="86">
        <f>D10/B10</f>
        <v>3.8</v>
      </c>
      <c r="J10" s="86">
        <v>461.07</v>
      </c>
    </row>
    <row r="11" spans="1:10" x14ac:dyDescent="0.35">
      <c r="A11" s="88" t="s">
        <v>225</v>
      </c>
      <c r="B11" s="88">
        <v>15</v>
      </c>
      <c r="C11" s="88">
        <v>55</v>
      </c>
      <c r="D11" s="88">
        <v>57</v>
      </c>
      <c r="E11" s="88" t="s">
        <v>244</v>
      </c>
      <c r="F11" s="88">
        <v>95000</v>
      </c>
      <c r="G11" s="89">
        <f>1.25*25.4</f>
        <v>31.75</v>
      </c>
      <c r="H11" s="88">
        <v>95000</v>
      </c>
      <c r="I11" s="88">
        <f>D11/B11</f>
        <v>3.8</v>
      </c>
      <c r="J11" s="88">
        <v>576.36</v>
      </c>
    </row>
    <row r="15" spans="1:10" x14ac:dyDescent="0.35">
      <c r="A15" s="34"/>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3" customWidth="1"/>
    <col min="3" max="3" width="16" customWidth="1"/>
    <col min="4" max="4" width="21.453125" customWidth="1"/>
    <col min="5" max="5" width="14.54296875" customWidth="1"/>
    <col min="6" max="6" width="10" customWidth="1"/>
  </cols>
  <sheetData>
    <row r="1" spans="1:7" s="8" customFormat="1" ht="32" customHeight="1" x14ac:dyDescent="0.35">
      <c r="A1" s="32" t="s">
        <v>245</v>
      </c>
      <c r="B1" s="32" t="s">
        <v>292</v>
      </c>
      <c r="C1" s="32" t="s">
        <v>246</v>
      </c>
      <c r="D1" s="32" t="s">
        <v>247</v>
      </c>
      <c r="E1" s="32" t="s">
        <v>248</v>
      </c>
      <c r="F1" s="32" t="s">
        <v>293</v>
      </c>
      <c r="G1" s="32" t="s">
        <v>301</v>
      </c>
    </row>
    <row r="2" spans="1:7" ht="40" customHeight="1" x14ac:dyDescent="0.35">
      <c r="A2" t="s">
        <v>249</v>
      </c>
      <c r="B2" s="1">
        <v>30</v>
      </c>
      <c r="C2" s="1">
        <v>5900</v>
      </c>
      <c r="D2" s="19">
        <f>C2*0.1019716213</f>
        <v>601.63256566999996</v>
      </c>
      <c r="E2" s="1" t="s">
        <v>148</v>
      </c>
      <c r="F2" s="1"/>
    </row>
    <row r="3" spans="1:7" ht="40" customHeight="1" x14ac:dyDescent="0.35">
      <c r="A3" t="s">
        <v>250</v>
      </c>
      <c r="B3" s="1">
        <v>40</v>
      </c>
      <c r="C3" s="1">
        <v>10800</v>
      </c>
      <c r="D3" s="19">
        <f t="shared" ref="D3" si="0">C3*0.1019716213</f>
        <v>1101.29351004</v>
      </c>
      <c r="E3" s="1" t="s">
        <v>148</v>
      </c>
      <c r="F3" s="1"/>
    </row>
    <row r="4" spans="1:7" ht="40" customHeight="1" x14ac:dyDescent="0.35">
      <c r="A4" t="s">
        <v>249</v>
      </c>
      <c r="B4" s="1">
        <v>30</v>
      </c>
      <c r="C4" s="1">
        <v>11250</v>
      </c>
      <c r="D4" s="19">
        <f>C4*0.1019716213</f>
        <v>1147.1807396249999</v>
      </c>
      <c r="E4" s="1" t="s">
        <v>198</v>
      </c>
      <c r="F4" s="1" t="s">
        <v>294</v>
      </c>
    </row>
    <row r="5" spans="1:7" ht="40" customHeight="1" x14ac:dyDescent="0.35">
      <c r="A5" t="s">
        <v>250</v>
      </c>
      <c r="B5" s="1">
        <v>40</v>
      </c>
      <c r="C5" s="1">
        <v>18100</v>
      </c>
      <c r="D5" s="19">
        <f t="shared" ref="D5:D7" si="1">C5*0.1019716213</f>
        <v>1845.6863455299999</v>
      </c>
      <c r="E5" s="1" t="s">
        <v>198</v>
      </c>
      <c r="F5" s="1" t="s">
        <v>295</v>
      </c>
    </row>
    <row r="6" spans="1:7" ht="40" customHeight="1" x14ac:dyDescent="0.35">
      <c r="A6" t="s">
        <v>251</v>
      </c>
      <c r="B6" s="1">
        <v>55</v>
      </c>
      <c r="C6" s="1">
        <v>29200</v>
      </c>
      <c r="D6" s="19">
        <f t="shared" si="1"/>
        <v>2977.5713419599997</v>
      </c>
      <c r="E6" s="1" t="s">
        <v>198</v>
      </c>
      <c r="F6" s="1" t="s">
        <v>296</v>
      </c>
    </row>
    <row r="7" spans="1:7" ht="40" customHeight="1" x14ac:dyDescent="0.35">
      <c r="A7" t="s">
        <v>275</v>
      </c>
      <c r="B7" s="1">
        <v>60</v>
      </c>
      <c r="C7" s="1">
        <v>32800</v>
      </c>
      <c r="D7" s="19">
        <f t="shared" si="1"/>
        <v>3344.6691786399997</v>
      </c>
      <c r="E7" s="1" t="s">
        <v>198</v>
      </c>
      <c r="F7" s="1" t="s">
        <v>297</v>
      </c>
    </row>
    <row r="8" spans="1:7" ht="40" customHeight="1" x14ac:dyDescent="0.35">
      <c r="B8" s="1">
        <v>80</v>
      </c>
      <c r="C8" s="1"/>
      <c r="D8" s="1"/>
      <c r="E8" s="1" t="s">
        <v>276</v>
      </c>
      <c r="F8" s="1"/>
    </row>
    <row r="9" spans="1:7" ht="40" customHeight="1" x14ac:dyDescent="0.35"/>
    <row r="12" spans="1:7" x14ac:dyDescent="0.35">
      <c r="E12" s="70"/>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18"/>
  <sheetViews>
    <sheetView zoomScale="80" zoomScaleNormal="80" workbookViewId="0">
      <selection activeCell="C23" sqref="C23"/>
    </sheetView>
  </sheetViews>
  <sheetFormatPr defaultRowHeight="14.5" x14ac:dyDescent="0.35"/>
  <cols>
    <col min="1" max="1" width="20.81640625" bestFit="1" customWidth="1"/>
    <col min="2" max="2" width="22.453125" customWidth="1"/>
    <col min="3" max="3" width="24.1796875" customWidth="1"/>
    <col min="4" max="4" width="25.54296875" style="3"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27" t="s">
        <v>3</v>
      </c>
      <c r="B1" s="27" t="s">
        <v>252</v>
      </c>
      <c r="C1" s="27" t="s">
        <v>253</v>
      </c>
      <c r="D1" s="27" t="s">
        <v>254</v>
      </c>
      <c r="E1" s="27" t="s">
        <v>248</v>
      </c>
      <c r="F1" s="28" t="s">
        <v>255</v>
      </c>
      <c r="G1" s="29" t="s">
        <v>158</v>
      </c>
      <c r="H1" s="30" t="s">
        <v>256</v>
      </c>
      <c r="I1" s="31" t="s">
        <v>257</v>
      </c>
      <c r="J1" s="29" t="s">
        <v>302</v>
      </c>
      <c r="K1" s="90" t="s">
        <v>130</v>
      </c>
    </row>
    <row r="2" spans="1:11" ht="40" customHeight="1" x14ac:dyDescent="0.35">
      <c r="A2" s="106" t="s">
        <v>378</v>
      </c>
      <c r="B2" s="96">
        <v>368</v>
      </c>
      <c r="C2" s="96">
        <v>1444</v>
      </c>
      <c r="D2" s="96">
        <v>22</v>
      </c>
      <c r="E2" s="107" t="s">
        <v>379</v>
      </c>
      <c r="F2" s="99"/>
      <c r="G2" s="96">
        <v>30</v>
      </c>
      <c r="H2" s="99"/>
    </row>
    <row r="3" spans="1:11" ht="40" customHeight="1" x14ac:dyDescent="0.35">
      <c r="A3" s="106" t="s">
        <v>380</v>
      </c>
      <c r="B3" s="96">
        <v>650</v>
      </c>
      <c r="C3" s="96">
        <v>2058</v>
      </c>
      <c r="D3" s="96">
        <v>22</v>
      </c>
      <c r="E3" s="107" t="s">
        <v>379</v>
      </c>
      <c r="F3" s="99"/>
      <c r="G3" s="96">
        <v>40</v>
      </c>
      <c r="H3" s="99"/>
    </row>
    <row r="4" spans="1:11" ht="40" customHeight="1" x14ac:dyDescent="0.35">
      <c r="A4" s="60"/>
      <c r="B4" s="59"/>
      <c r="C4" s="59"/>
      <c r="D4" s="59"/>
      <c r="E4" s="59"/>
      <c r="G4" s="59"/>
    </row>
    <row r="5" spans="1:11" ht="40" customHeight="1" x14ac:dyDescent="0.35">
      <c r="A5" s="60"/>
      <c r="B5" s="59"/>
      <c r="C5" s="59"/>
      <c r="D5" s="59"/>
      <c r="E5" s="59"/>
      <c r="G5" s="59"/>
    </row>
    <row r="6" spans="1:11" ht="40" customHeight="1" x14ac:dyDescent="0.35"/>
    <row r="12" spans="1:11" ht="40" customHeight="1" x14ac:dyDescent="0.35">
      <c r="D12"/>
    </row>
    <row r="13" spans="1:11" x14ac:dyDescent="0.35">
      <c r="D13"/>
    </row>
    <row r="14" spans="1:11" ht="40" customHeight="1" x14ac:dyDescent="0.35"/>
    <row r="15" spans="1:11" ht="40" customHeight="1" x14ac:dyDescent="0.35">
      <c r="K15" s="4"/>
    </row>
    <row r="16" spans="1:11" ht="40" customHeight="1" x14ac:dyDescent="0.35"/>
    <row r="17" ht="40" customHeight="1" x14ac:dyDescent="0.35"/>
    <row r="18"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8"/>
  <sheetViews>
    <sheetView workbookViewId="0">
      <selection activeCell="C18" sqref="C18"/>
    </sheetView>
  </sheetViews>
  <sheetFormatPr defaultRowHeight="14.5" x14ac:dyDescent="0.35"/>
  <cols>
    <col min="1" max="1" width="15.90625" style="21"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1" t="s">
        <v>3</v>
      </c>
      <c r="B1" s="3" t="s">
        <v>258</v>
      </c>
      <c r="C1" s="3" t="s">
        <v>259</v>
      </c>
      <c r="D1" s="3" t="s">
        <v>16</v>
      </c>
      <c r="E1" s="3" t="s">
        <v>260</v>
      </c>
      <c r="F1" s="3" t="s">
        <v>261</v>
      </c>
      <c r="G1" s="3" t="s">
        <v>262</v>
      </c>
      <c r="H1" t="s">
        <v>343</v>
      </c>
    </row>
    <row r="2" spans="1:8" x14ac:dyDescent="0.35">
      <c r="B2" s="3"/>
      <c r="C2" s="3"/>
      <c r="D2" s="3"/>
      <c r="E2" s="3"/>
      <c r="F2" s="3"/>
      <c r="G2" s="3"/>
    </row>
    <row r="3" spans="1:8" x14ac:dyDescent="0.35">
      <c r="A3" s="108" t="s">
        <v>381</v>
      </c>
      <c r="B3" s="96">
        <v>280</v>
      </c>
      <c r="C3" s="96">
        <v>450</v>
      </c>
      <c r="D3" s="96" t="s">
        <v>120</v>
      </c>
      <c r="E3" s="96">
        <v>3</v>
      </c>
      <c r="F3" s="3">
        <f t="shared" ref="F3:F8" si="0">B3-50</f>
        <v>230</v>
      </c>
      <c r="G3" s="96">
        <v>0</v>
      </c>
    </row>
    <row r="4" spans="1:8" x14ac:dyDescent="0.35">
      <c r="A4" s="108" t="s">
        <v>382</v>
      </c>
      <c r="B4" s="96">
        <v>310</v>
      </c>
      <c r="C4" s="96">
        <v>450</v>
      </c>
      <c r="D4" s="96" t="s">
        <v>120</v>
      </c>
      <c r="E4" s="96">
        <v>3</v>
      </c>
      <c r="F4" s="3">
        <f t="shared" si="0"/>
        <v>260</v>
      </c>
      <c r="G4" s="96">
        <v>0</v>
      </c>
    </row>
    <row r="5" spans="1:8" x14ac:dyDescent="0.35">
      <c r="A5" s="108" t="s">
        <v>383</v>
      </c>
      <c r="B5" s="96">
        <v>340</v>
      </c>
      <c r="C5" s="96">
        <v>450</v>
      </c>
      <c r="D5" s="96" t="s">
        <v>120</v>
      </c>
      <c r="E5" s="96">
        <v>3</v>
      </c>
      <c r="F5" s="3">
        <f t="shared" si="0"/>
        <v>290</v>
      </c>
      <c r="G5" s="96">
        <v>0</v>
      </c>
    </row>
    <row r="6" spans="1:8" x14ac:dyDescent="0.35">
      <c r="A6" s="108" t="s">
        <v>384</v>
      </c>
      <c r="B6" s="96">
        <v>370</v>
      </c>
      <c r="C6" s="96">
        <v>450</v>
      </c>
      <c r="D6" s="96" t="s">
        <v>120</v>
      </c>
      <c r="E6" s="96">
        <v>3</v>
      </c>
      <c r="F6" s="3">
        <f t="shared" si="0"/>
        <v>320</v>
      </c>
      <c r="G6" s="96">
        <v>0</v>
      </c>
    </row>
    <row r="7" spans="1:8" x14ac:dyDescent="0.35">
      <c r="A7" s="108" t="s">
        <v>385</v>
      </c>
      <c r="B7" s="96">
        <v>400</v>
      </c>
      <c r="C7" s="96">
        <v>450</v>
      </c>
      <c r="D7" s="96" t="s">
        <v>120</v>
      </c>
      <c r="E7" s="96">
        <v>3</v>
      </c>
      <c r="F7" s="3">
        <f t="shared" si="0"/>
        <v>350</v>
      </c>
      <c r="G7" s="96">
        <v>0</v>
      </c>
    </row>
    <row r="8" spans="1:8" x14ac:dyDescent="0.35">
      <c r="A8" s="108" t="s">
        <v>386</v>
      </c>
      <c r="B8" s="96">
        <v>440</v>
      </c>
      <c r="C8" s="96">
        <v>450</v>
      </c>
      <c r="D8" s="96" t="s">
        <v>19</v>
      </c>
      <c r="E8" s="96">
        <v>3</v>
      </c>
      <c r="F8" s="3">
        <f t="shared" si="0"/>
        <v>390</v>
      </c>
      <c r="G8" s="96">
        <v>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263</v>
      </c>
      <c r="C1" t="s">
        <v>100</v>
      </c>
    </row>
    <row r="2" spans="1:3" x14ac:dyDescent="0.35">
      <c r="A2" t="s">
        <v>119</v>
      </c>
      <c r="B2">
        <v>1650</v>
      </c>
      <c r="C2">
        <v>550</v>
      </c>
    </row>
    <row r="3" spans="1:3" x14ac:dyDescent="0.35">
      <c r="A3" t="s">
        <v>264</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05" t="s">
        <v>291</v>
      </c>
      <c r="B2" s="105"/>
      <c r="C2" s="105"/>
      <c r="D2" s="105"/>
      <c r="E2" s="105"/>
      <c r="F2" s="105"/>
    </row>
    <row r="4" spans="1:10" x14ac:dyDescent="0.35">
      <c r="A4" t="s">
        <v>287</v>
      </c>
      <c r="B4" t="s">
        <v>288</v>
      </c>
      <c r="C4" s="3" t="s">
        <v>283</v>
      </c>
      <c r="D4" s="3" t="s">
        <v>284</v>
      </c>
      <c r="E4" s="3" t="s">
        <v>285</v>
      </c>
      <c r="F4" s="3" t="s">
        <v>286</v>
      </c>
      <c r="G4" s="3"/>
      <c r="H4" s="3"/>
      <c r="I4" s="3"/>
      <c r="J4" s="3"/>
    </row>
    <row r="5" spans="1:10" x14ac:dyDescent="0.35">
      <c r="A5" t="s">
        <v>103</v>
      </c>
      <c r="B5" t="s">
        <v>289</v>
      </c>
      <c r="C5" s="3">
        <v>1000</v>
      </c>
      <c r="D5" s="3">
        <v>6000</v>
      </c>
      <c r="E5" s="3">
        <v>500</v>
      </c>
      <c r="F5" s="3">
        <v>6000</v>
      </c>
      <c r="G5" s="3"/>
      <c r="H5" s="3"/>
      <c r="I5" s="3"/>
      <c r="J5" s="3"/>
    </row>
    <row r="6" spans="1:10" x14ac:dyDescent="0.35">
      <c r="A6" t="s">
        <v>108</v>
      </c>
      <c r="B6" t="s">
        <v>289</v>
      </c>
      <c r="C6" s="3">
        <v>1000</v>
      </c>
      <c r="D6" s="3">
        <v>8200</v>
      </c>
      <c r="E6" s="3">
        <v>500</v>
      </c>
      <c r="F6" s="3">
        <v>8000</v>
      </c>
    </row>
    <row r="7" spans="1:10" x14ac:dyDescent="0.35">
      <c r="A7" t="s">
        <v>109</v>
      </c>
      <c r="B7" t="s">
        <v>289</v>
      </c>
      <c r="C7" s="3">
        <v>1000</v>
      </c>
      <c r="D7" s="3">
        <v>9000</v>
      </c>
      <c r="E7" s="3">
        <v>500</v>
      </c>
      <c r="F7" s="3">
        <v>8000</v>
      </c>
      <c r="G7" s="3"/>
      <c r="H7" s="3"/>
      <c r="I7" s="3"/>
      <c r="J7" s="3"/>
    </row>
    <row r="8" spans="1:10" x14ac:dyDescent="0.35">
      <c r="A8" t="s">
        <v>121</v>
      </c>
      <c r="B8" t="s">
        <v>289</v>
      </c>
      <c r="C8" s="3">
        <v>1000</v>
      </c>
      <c r="D8" s="3">
        <v>9000</v>
      </c>
      <c r="E8" s="3">
        <v>500</v>
      </c>
      <c r="F8" s="3">
        <v>8000</v>
      </c>
      <c r="G8" s="3"/>
      <c r="H8" s="3"/>
      <c r="I8" s="3"/>
      <c r="J8" s="3"/>
    </row>
    <row r="9" spans="1:10" x14ac:dyDescent="0.35">
      <c r="A9" t="s">
        <v>111</v>
      </c>
      <c r="B9" t="s">
        <v>289</v>
      </c>
      <c r="C9" s="3">
        <v>1000</v>
      </c>
      <c r="D9" s="3">
        <v>9000</v>
      </c>
      <c r="E9" s="3">
        <v>500</v>
      </c>
      <c r="F9" s="3">
        <v>8000</v>
      </c>
      <c r="G9" s="3"/>
      <c r="H9" s="3"/>
      <c r="I9" s="3"/>
      <c r="J9" s="3"/>
    </row>
    <row r="11" spans="1:10" x14ac:dyDescent="0.35">
      <c r="A11" t="s">
        <v>103</v>
      </c>
      <c r="B11" t="s">
        <v>290</v>
      </c>
      <c r="C11" s="3">
        <v>1000</v>
      </c>
      <c r="D11" s="3">
        <v>6000</v>
      </c>
      <c r="E11" s="3">
        <v>500</v>
      </c>
      <c r="F11" s="3">
        <v>6000</v>
      </c>
    </row>
    <row r="12" spans="1:10" x14ac:dyDescent="0.35">
      <c r="A12" t="s">
        <v>108</v>
      </c>
      <c r="B12" t="s">
        <v>290</v>
      </c>
      <c r="C12" s="3">
        <v>1000</v>
      </c>
      <c r="D12" s="3">
        <v>8200</v>
      </c>
      <c r="E12" s="3">
        <v>500</v>
      </c>
      <c r="F12" s="3">
        <v>8000</v>
      </c>
    </row>
    <row r="13" spans="1:10" x14ac:dyDescent="0.35">
      <c r="A13" t="s">
        <v>109</v>
      </c>
      <c r="B13" t="s">
        <v>290</v>
      </c>
      <c r="C13" s="3">
        <v>1000</v>
      </c>
      <c r="D13" s="3">
        <v>9000</v>
      </c>
      <c r="E13" s="3">
        <v>500</v>
      </c>
      <c r="F13" s="3">
        <v>8000</v>
      </c>
    </row>
    <row r="14" spans="1:10" x14ac:dyDescent="0.35">
      <c r="A14" t="s">
        <v>121</v>
      </c>
      <c r="B14" t="s">
        <v>290</v>
      </c>
      <c r="C14" s="3">
        <v>1000</v>
      </c>
      <c r="D14" s="3">
        <v>9000</v>
      </c>
      <c r="E14" s="3">
        <v>500</v>
      </c>
      <c r="F14" s="3">
        <v>8000</v>
      </c>
    </row>
    <row r="15" spans="1:10" x14ac:dyDescent="0.35">
      <c r="A15" t="s">
        <v>111</v>
      </c>
      <c r="B15" t="s">
        <v>290</v>
      </c>
      <c r="C15" s="3">
        <v>1000</v>
      </c>
      <c r="D15" s="3">
        <v>9000</v>
      </c>
      <c r="E15" s="3">
        <v>500</v>
      </c>
      <c r="F15" s="3">
        <v>8000</v>
      </c>
    </row>
    <row r="17" spans="1:6" x14ac:dyDescent="0.35">
      <c r="A17" t="s">
        <v>103</v>
      </c>
      <c r="B17" t="s">
        <v>341</v>
      </c>
      <c r="C17" s="3">
        <v>1000</v>
      </c>
      <c r="D17" s="3">
        <v>6000</v>
      </c>
      <c r="E17" s="3">
        <v>500</v>
      </c>
      <c r="F17" s="3">
        <v>3000</v>
      </c>
    </row>
    <row r="18" spans="1:6" x14ac:dyDescent="0.35">
      <c r="A18" t="s">
        <v>108</v>
      </c>
      <c r="B18" t="s">
        <v>341</v>
      </c>
      <c r="C18" s="3">
        <v>1000</v>
      </c>
      <c r="D18" s="3">
        <v>4000</v>
      </c>
      <c r="E18" s="3">
        <v>500</v>
      </c>
      <c r="F18" s="3">
        <v>3000</v>
      </c>
    </row>
    <row r="19" spans="1:6" x14ac:dyDescent="0.35">
      <c r="A19" t="s">
        <v>109</v>
      </c>
      <c r="B19" t="s">
        <v>341</v>
      </c>
      <c r="C19" s="3">
        <v>1000</v>
      </c>
      <c r="D19" s="3">
        <v>2000</v>
      </c>
      <c r="E19" s="3">
        <v>500</v>
      </c>
      <c r="F19" s="3">
        <v>3000</v>
      </c>
    </row>
    <row r="20" spans="1:6" x14ac:dyDescent="0.35">
      <c r="A20" t="s">
        <v>121</v>
      </c>
      <c r="B20" t="s">
        <v>341</v>
      </c>
      <c r="C20" s="3">
        <v>1000</v>
      </c>
      <c r="D20" s="3">
        <v>4000</v>
      </c>
      <c r="E20" s="3">
        <v>500</v>
      </c>
      <c r="F20" s="3">
        <v>3000</v>
      </c>
    </row>
    <row r="21" spans="1:6" x14ac:dyDescent="0.35">
      <c r="A21" t="s">
        <v>111</v>
      </c>
      <c r="B21" t="s">
        <v>341</v>
      </c>
      <c r="C21" s="3">
        <v>1000</v>
      </c>
      <c r="D21" s="3">
        <v>2000</v>
      </c>
      <c r="E21" s="3">
        <v>500</v>
      </c>
      <c r="F21" s="3">
        <v>3000</v>
      </c>
    </row>
    <row r="23" spans="1:6" x14ac:dyDescent="0.35">
      <c r="A23" t="s">
        <v>103</v>
      </c>
      <c r="B23" t="s">
        <v>342</v>
      </c>
    </row>
    <row r="24" spans="1:6" x14ac:dyDescent="0.35">
      <c r="A24" t="s">
        <v>108</v>
      </c>
      <c r="B24" t="s">
        <v>342</v>
      </c>
    </row>
    <row r="25" spans="1:6" x14ac:dyDescent="0.35">
      <c r="A25" t="s">
        <v>109</v>
      </c>
      <c r="B25" t="s">
        <v>342</v>
      </c>
    </row>
    <row r="26" spans="1:6" x14ac:dyDescent="0.35">
      <c r="A26" t="s">
        <v>121</v>
      </c>
      <c r="B26" t="s">
        <v>342</v>
      </c>
    </row>
    <row r="27" spans="1:6" x14ac:dyDescent="0.35">
      <c r="A27" t="s">
        <v>111</v>
      </c>
      <c r="B27" t="s">
        <v>342</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50" t="s">
        <v>24</v>
      </c>
      <c r="B1" s="49" t="s">
        <v>25</v>
      </c>
      <c r="C1" s="49"/>
      <c r="D1" t="s">
        <v>26</v>
      </c>
      <c r="E1" t="s">
        <v>27</v>
      </c>
      <c r="F1" t="s">
        <v>28</v>
      </c>
      <c r="G1" t="s">
        <v>29</v>
      </c>
      <c r="H1" t="s">
        <v>331</v>
      </c>
    </row>
    <row r="2" spans="1:11" x14ac:dyDescent="0.35">
      <c r="A2" s="48" t="s">
        <v>30</v>
      </c>
      <c r="B2" s="48" t="s">
        <v>31</v>
      </c>
      <c r="C2" s="48">
        <v>1</v>
      </c>
      <c r="H2" t="s">
        <v>332</v>
      </c>
      <c r="K2" t="s">
        <v>333</v>
      </c>
    </row>
    <row r="3" spans="1:11" x14ac:dyDescent="0.35">
      <c r="A3" s="48" t="s">
        <v>32</v>
      </c>
      <c r="B3" s="48" t="s">
        <v>33</v>
      </c>
      <c r="C3" s="48">
        <v>2</v>
      </c>
      <c r="H3" t="s">
        <v>332</v>
      </c>
      <c r="K3" t="s">
        <v>334</v>
      </c>
    </row>
    <row r="4" spans="1:11" x14ac:dyDescent="0.35">
      <c r="A4" s="48" t="s">
        <v>34</v>
      </c>
      <c r="B4" s="48" t="s">
        <v>35</v>
      </c>
      <c r="C4" s="48">
        <v>3</v>
      </c>
      <c r="H4" t="s">
        <v>332</v>
      </c>
      <c r="K4" t="s">
        <v>335</v>
      </c>
    </row>
    <row r="5" spans="1:11" x14ac:dyDescent="0.35">
      <c r="A5" s="48" t="s">
        <v>36</v>
      </c>
      <c r="B5" s="48" t="s">
        <v>37</v>
      </c>
      <c r="C5" s="48">
        <v>5</v>
      </c>
      <c r="H5" t="s">
        <v>332</v>
      </c>
      <c r="K5" t="s">
        <v>336</v>
      </c>
    </row>
    <row r="6" spans="1:11" x14ac:dyDescent="0.35">
      <c r="A6" s="48" t="s">
        <v>30</v>
      </c>
      <c r="B6" s="48" t="s">
        <v>38</v>
      </c>
      <c r="C6" s="48">
        <v>6</v>
      </c>
      <c r="K6" t="s">
        <v>337</v>
      </c>
    </row>
    <row r="7" spans="1:11" x14ac:dyDescent="0.35">
      <c r="A7" s="48" t="s">
        <v>32</v>
      </c>
      <c r="B7" s="48" t="s">
        <v>39</v>
      </c>
      <c r="C7" s="48">
        <v>7</v>
      </c>
      <c r="K7" t="s">
        <v>338</v>
      </c>
    </row>
    <row r="8" spans="1:11" ht="16" x14ac:dyDescent="0.35">
      <c r="A8" s="48" t="s">
        <v>34</v>
      </c>
      <c r="B8" s="48" t="s">
        <v>40</v>
      </c>
      <c r="C8" s="48">
        <v>8</v>
      </c>
    </row>
    <row r="9" spans="1:11" x14ac:dyDescent="0.35">
      <c r="A9" s="48" t="s">
        <v>41</v>
      </c>
      <c r="B9" s="48" t="s">
        <v>42</v>
      </c>
      <c r="C9" s="48">
        <v>9</v>
      </c>
    </row>
    <row r="10" spans="1:11" ht="16" x14ac:dyDescent="0.35">
      <c r="A10" s="48" t="s">
        <v>43</v>
      </c>
      <c r="B10" s="48" t="s">
        <v>44</v>
      </c>
      <c r="C10" s="48">
        <v>10</v>
      </c>
    </row>
    <row r="11" spans="1:11" x14ac:dyDescent="0.35">
      <c r="A11" s="48" t="s">
        <v>45</v>
      </c>
      <c r="B11" s="48" t="s">
        <v>46</v>
      </c>
      <c r="C11" s="48">
        <v>11</v>
      </c>
    </row>
    <row r="12" spans="1:11" ht="16" x14ac:dyDescent="0.35">
      <c r="A12" s="48" t="s">
        <v>47</v>
      </c>
      <c r="B12" s="48" t="s">
        <v>48</v>
      </c>
      <c r="C12" s="48">
        <v>12</v>
      </c>
    </row>
    <row r="13" spans="1:11" ht="16" x14ac:dyDescent="0.35">
      <c r="A13" s="48" t="s">
        <v>49</v>
      </c>
      <c r="B13" s="48" t="s">
        <v>50</v>
      </c>
      <c r="C13" s="48">
        <v>13</v>
      </c>
    </row>
    <row r="14" spans="1:11" x14ac:dyDescent="0.35">
      <c r="A14" s="48" t="s">
        <v>51</v>
      </c>
      <c r="B14" s="48" t="s">
        <v>52</v>
      </c>
      <c r="C14" s="48">
        <v>14</v>
      </c>
    </row>
    <row r="15" spans="1:11" ht="16" x14ac:dyDescent="0.35">
      <c r="A15" s="48" t="s">
        <v>53</v>
      </c>
      <c r="B15" s="48" t="s">
        <v>54</v>
      </c>
      <c r="C15" s="48">
        <v>15</v>
      </c>
    </row>
    <row r="16" spans="1:11" x14ac:dyDescent="0.35">
      <c r="A16" s="48" t="s">
        <v>55</v>
      </c>
      <c r="B16" s="48" t="s">
        <v>56</v>
      </c>
      <c r="C16" s="48">
        <v>16</v>
      </c>
    </row>
    <row r="17" spans="1:3" ht="16" x14ac:dyDescent="0.35">
      <c r="A17" s="48" t="s">
        <v>57</v>
      </c>
      <c r="B17" s="48" t="s">
        <v>58</v>
      </c>
      <c r="C17" s="48">
        <v>17</v>
      </c>
    </row>
    <row r="18" spans="1:3" x14ac:dyDescent="0.35">
      <c r="A18" s="48" t="s">
        <v>59</v>
      </c>
      <c r="B18" s="48" t="s">
        <v>60</v>
      </c>
      <c r="C18" s="48">
        <v>18</v>
      </c>
    </row>
    <row r="19" spans="1:3" ht="16" x14ac:dyDescent="0.35">
      <c r="A19" s="48" t="s">
        <v>61</v>
      </c>
      <c r="B19" s="48" t="s">
        <v>62</v>
      </c>
      <c r="C19" s="48">
        <v>19</v>
      </c>
    </row>
    <row r="20" spans="1:3" ht="16" x14ac:dyDescent="0.35">
      <c r="A20" s="48" t="s">
        <v>63</v>
      </c>
      <c r="B20" s="48" t="s">
        <v>64</v>
      </c>
      <c r="C20" s="48">
        <v>20</v>
      </c>
    </row>
    <row r="21" spans="1:3" x14ac:dyDescent="0.35">
      <c r="A21" s="48" t="s">
        <v>65</v>
      </c>
      <c r="B21" s="48" t="s">
        <v>66</v>
      </c>
      <c r="C21" s="48">
        <v>21</v>
      </c>
    </row>
    <row r="22" spans="1:3" ht="16" x14ac:dyDescent="0.35">
      <c r="A22" s="48" t="s">
        <v>67</v>
      </c>
      <c r="B22" s="48" t="s">
        <v>68</v>
      </c>
      <c r="C22" s="48">
        <v>22</v>
      </c>
    </row>
    <row r="23" spans="1:3" ht="16" x14ac:dyDescent="0.35">
      <c r="A23" s="48" t="s">
        <v>69</v>
      </c>
      <c r="B23" s="48" t="s">
        <v>70</v>
      </c>
      <c r="C23" s="48">
        <v>23</v>
      </c>
    </row>
    <row r="24" spans="1:3" ht="16" x14ac:dyDescent="0.35">
      <c r="A24" s="48" t="s">
        <v>71</v>
      </c>
      <c r="B24" s="48" t="s">
        <v>72</v>
      </c>
      <c r="C24" s="48">
        <v>24</v>
      </c>
    </row>
    <row r="25" spans="1:3" ht="16" x14ac:dyDescent="0.35">
      <c r="A25" s="48" t="s">
        <v>73</v>
      </c>
      <c r="B25" s="48" t="s">
        <v>74</v>
      </c>
      <c r="C25" s="48">
        <v>25</v>
      </c>
    </row>
    <row r="26" spans="1:3" ht="16" x14ac:dyDescent="0.35">
      <c r="A26" s="48" t="s">
        <v>75</v>
      </c>
      <c r="B26" s="48" t="s">
        <v>76</v>
      </c>
      <c r="C26" s="48">
        <v>26</v>
      </c>
    </row>
    <row r="27" spans="1:3" ht="16" x14ac:dyDescent="0.35">
      <c r="A27" s="48" t="s">
        <v>77</v>
      </c>
      <c r="B27" s="48" t="s">
        <v>78</v>
      </c>
      <c r="C27" s="48">
        <v>27</v>
      </c>
    </row>
    <row r="28" spans="1:3" ht="16" x14ac:dyDescent="0.35">
      <c r="A28" s="48" t="s">
        <v>79</v>
      </c>
      <c r="B28" s="48" t="s">
        <v>80</v>
      </c>
      <c r="C28" s="48">
        <v>28</v>
      </c>
    </row>
    <row r="29" spans="1:3" ht="16" x14ac:dyDescent="0.35">
      <c r="A29" s="48" t="s">
        <v>81</v>
      </c>
      <c r="B29" s="48" t="s">
        <v>82</v>
      </c>
      <c r="C29" s="48">
        <v>29</v>
      </c>
    </row>
    <row r="30" spans="1:3" ht="16" x14ac:dyDescent="0.35">
      <c r="A30" s="48" t="s">
        <v>83</v>
      </c>
      <c r="B30" s="48" t="s">
        <v>84</v>
      </c>
      <c r="C30" s="48">
        <v>30</v>
      </c>
    </row>
    <row r="31" spans="1:3" x14ac:dyDescent="0.35">
      <c r="A31" s="48" t="s">
        <v>85</v>
      </c>
      <c r="B31" s="48" t="s">
        <v>86</v>
      </c>
      <c r="C31" s="48">
        <v>79</v>
      </c>
    </row>
    <row r="32" spans="1:3" x14ac:dyDescent="0.35">
      <c r="A32" s="48" t="s">
        <v>87</v>
      </c>
      <c r="B32" s="48" t="s">
        <v>88</v>
      </c>
      <c r="C32" s="48">
        <v>80</v>
      </c>
    </row>
    <row r="33" spans="1:3" ht="16" x14ac:dyDescent="0.35">
      <c r="A33" s="48" t="s">
        <v>89</v>
      </c>
      <c r="B33" s="48" t="s">
        <v>90</v>
      </c>
      <c r="C33" s="48">
        <v>81</v>
      </c>
    </row>
    <row r="34" spans="1:3" ht="16" x14ac:dyDescent="0.35">
      <c r="A34" s="48" t="s">
        <v>91</v>
      </c>
      <c r="B34" s="48" t="s">
        <v>92</v>
      </c>
      <c r="C34" s="48">
        <v>414</v>
      </c>
    </row>
    <row r="35" spans="1:3" ht="16" x14ac:dyDescent="0.35">
      <c r="A35" s="48" t="s">
        <v>93</v>
      </c>
      <c r="B35" s="48" t="s">
        <v>94</v>
      </c>
      <c r="C35" s="48">
        <v>415</v>
      </c>
    </row>
    <row r="36" spans="1:3" ht="16" x14ac:dyDescent="0.35">
      <c r="A36" s="48" t="s">
        <v>95</v>
      </c>
      <c r="B36" s="48" t="s">
        <v>96</v>
      </c>
      <c r="C36" s="4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2026-02-27T11:02:45Z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